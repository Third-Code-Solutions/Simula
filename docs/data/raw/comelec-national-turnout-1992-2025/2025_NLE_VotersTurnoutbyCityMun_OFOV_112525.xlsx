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sd.ersd\Desktop\STATISTICAL DATA_UPDATED\"/>
    </mc:Choice>
  </mc:AlternateContent>
  <xr:revisionPtr revIDLastSave="0" documentId="13_ncr:1_{8A2BF559-D685-4ABA-B78E-39CA3549A831}" xr6:coauthVersionLast="47" xr6:coauthVersionMax="47" xr10:uidLastSave="{00000000-0000-0000-0000-000000000000}"/>
  <bookViews>
    <workbookView xWindow="-120" yWindow="-120" windowWidth="29040" windowHeight="15720" tabRatio="595" activeTab="1" xr2:uid="{00000000-000D-0000-FFFF-FFFF00000000}"/>
  </bookViews>
  <sheets>
    <sheet name="SUMMARY" sheetId="15" r:id="rId1"/>
    <sheet name="regional_summary" sheetId="13" r:id="rId2"/>
    <sheet name="provl_summary" sheetId="11" r:id="rId3"/>
    <sheet name="mun_coc" sheetId="10" r:id="rId4"/>
    <sheet name="OVERSEAS VOTING" sheetId="16" r:id="rId5"/>
  </sheets>
  <definedNames>
    <definedName name="_xlnm.Print_Area" localSheetId="3">mun_coc!$A$1:$F$2074</definedName>
    <definedName name="_xlnm.Print_Titles" localSheetId="3">mun_coc!$1:$12</definedName>
    <definedName name="_xlnm.Print_Titles" localSheetId="4">'OVERSEAS VOTING'!$8:$10</definedName>
    <definedName name="_xlnm.Print_Titles" localSheetId="2">provl_summary!$1:$13</definedName>
    <definedName name="_xlnm.Print_Titles" localSheetId="1">regional_summary!$1:$13</definedName>
    <definedName name="_xlnm.Print_Titles" localSheetId="0">SUMMARY!$1:$7</definedName>
  </definedNames>
  <calcPr calcId="191029"/>
</workbook>
</file>

<file path=xl/calcChain.xml><?xml version="1.0" encoding="utf-8"?>
<calcChain xmlns="http://schemas.openxmlformats.org/spreadsheetml/2006/main">
  <c r="G11" i="15" l="1"/>
  <c r="E11" i="15"/>
  <c r="C14" i="13"/>
  <c r="F18" i="10"/>
  <c r="D13" i="10"/>
  <c r="E36" i="10"/>
  <c r="D12" i="16" l="1"/>
  <c r="E40" i="16"/>
  <c r="E39" i="16"/>
  <c r="E38" i="16"/>
  <c r="E37" i="16"/>
  <c r="E36" i="16"/>
  <c r="E35" i="16"/>
  <c r="E79" i="16"/>
  <c r="E78" i="16"/>
  <c r="E77" i="16"/>
  <c r="E76" i="16"/>
  <c r="E75" i="16"/>
  <c r="E74" i="16"/>
  <c r="E73" i="16"/>
  <c r="E72" i="16"/>
  <c r="E71" i="16"/>
  <c r="E70" i="16"/>
  <c r="E69" i="16"/>
  <c r="E68" i="16"/>
  <c r="E67" i="16"/>
  <c r="E66" i="16"/>
  <c r="E65" i="16"/>
  <c r="E64" i="16"/>
  <c r="E63" i="16"/>
  <c r="D59" i="16"/>
  <c r="C59" i="16"/>
  <c r="D41" i="16"/>
  <c r="C41" i="16"/>
  <c r="E58" i="16"/>
  <c r="E57" i="16"/>
  <c r="E56" i="16"/>
  <c r="E55" i="16"/>
  <c r="E54" i="16"/>
  <c r="E53" i="16"/>
  <c r="E52" i="16"/>
  <c r="E51" i="16"/>
  <c r="D34" i="16"/>
  <c r="C34" i="16"/>
  <c r="C12" i="16"/>
  <c r="E33" i="16"/>
  <c r="E32" i="16"/>
  <c r="E31" i="16"/>
  <c r="E30" i="16"/>
  <c r="E29" i="16"/>
  <c r="E28" i="16"/>
  <c r="E27" i="16"/>
  <c r="E26" i="16"/>
  <c r="E25" i="16"/>
  <c r="E24" i="16"/>
  <c r="E23" i="16"/>
  <c r="E1826" i="10"/>
  <c r="D1826" i="10"/>
  <c r="C1826" i="10"/>
  <c r="E1822" i="10"/>
  <c r="D1822" i="10"/>
  <c r="C1822" i="10"/>
  <c r="E1818" i="10"/>
  <c r="D1818" i="10"/>
  <c r="C1818" i="10"/>
  <c r="E1761" i="10"/>
  <c r="C762" i="10"/>
  <c r="E762" i="10"/>
  <c r="D762" i="10"/>
  <c r="E2051" i="10"/>
  <c r="E1860" i="10"/>
  <c r="D1860" i="10"/>
  <c r="C1860" i="10"/>
  <c r="E1852" i="10"/>
  <c r="D1852" i="10"/>
  <c r="C1852" i="10"/>
  <c r="C11" i="16" l="1"/>
  <c r="D11" i="16"/>
  <c r="F1826" i="10"/>
  <c r="E34" i="16"/>
  <c r="E1850" i="10"/>
  <c r="D1850" i="10"/>
  <c r="C1850" i="10"/>
  <c r="D970" i="10"/>
  <c r="E639" i="10"/>
  <c r="D639" i="10"/>
  <c r="C639" i="10"/>
  <c r="E587" i="10"/>
  <c r="D587" i="10"/>
  <c r="C587" i="10"/>
  <c r="E458" i="10"/>
  <c r="D458" i="10"/>
  <c r="C458" i="10"/>
  <c r="C2065" i="10"/>
  <c r="C115" i="11" s="1"/>
  <c r="C2058" i="10"/>
  <c r="C2051" i="10"/>
  <c r="C2036" i="10"/>
  <c r="C2023" i="10"/>
  <c r="C2011" i="10"/>
  <c r="C2004" i="10"/>
  <c r="C1979" i="10"/>
  <c r="C1960" i="10"/>
  <c r="C1949" i="10"/>
  <c r="C1944" i="10"/>
  <c r="C1935" i="10"/>
  <c r="C1920" i="10"/>
  <c r="C1906" i="10"/>
  <c r="C1896" i="10"/>
  <c r="C1891" i="10"/>
  <c r="C1886" i="10"/>
  <c r="C1875" i="10"/>
  <c r="C1868" i="10"/>
  <c r="C1842" i="10"/>
  <c r="C1835" i="10"/>
  <c r="C1812" i="10"/>
  <c r="C1808" i="10"/>
  <c r="C1799" i="10"/>
  <c r="C1792" i="10"/>
  <c r="C1785" i="10"/>
  <c r="C1779" i="10"/>
  <c r="C1776" i="10"/>
  <c r="C1768" i="10"/>
  <c r="C1761" i="10"/>
  <c r="C1756" i="10"/>
  <c r="C1747" i="10"/>
  <c r="C1743" i="10"/>
  <c r="C1732" i="10"/>
  <c r="C1725" i="10"/>
  <c r="C1717" i="10"/>
  <c r="C1711" i="10"/>
  <c r="C1706" i="10"/>
  <c r="C1690" i="10"/>
  <c r="C1678" i="10"/>
  <c r="C1669" i="10"/>
  <c r="C1658" i="10"/>
  <c r="C1643" i="10"/>
  <c r="C1631" i="10"/>
  <c r="C1626" i="10"/>
  <c r="C1623" i="10"/>
  <c r="C1617" i="10"/>
  <c r="C1608" i="10"/>
  <c r="C1602" i="10"/>
  <c r="C1595" i="10"/>
  <c r="C1581" i="10"/>
  <c r="C1572" i="10"/>
  <c r="C1563" i="10"/>
  <c r="C1553" i="10"/>
  <c r="C1549" i="10"/>
  <c r="C1532" i="10"/>
  <c r="C1519" i="10"/>
  <c r="C1505" i="10"/>
  <c r="C1497" i="10"/>
  <c r="C1488" i="10"/>
  <c r="C1473" i="10"/>
  <c r="C1465" i="10"/>
  <c r="C1447" i="10"/>
  <c r="C1436" i="10"/>
  <c r="C1424" i="10"/>
  <c r="C1409" i="10"/>
  <c r="C1398" i="10"/>
  <c r="C1390" i="10"/>
  <c r="C1384" i="10"/>
  <c r="C1369" i="10"/>
  <c r="C1360" i="10"/>
  <c r="C1346" i="10"/>
  <c r="C1334" i="10"/>
  <c r="C1326" i="10"/>
  <c r="C1322" i="10"/>
  <c r="C1196" i="10"/>
  <c r="C1192" i="10"/>
  <c r="C1181" i="10"/>
  <c r="C1172" i="10"/>
  <c r="C1162" i="10"/>
  <c r="C1316" i="10"/>
  <c r="C1302" i="10"/>
  <c r="C1299" i="10"/>
  <c r="C1287" i="10"/>
  <c r="C1277" i="10"/>
  <c r="C1269" i="10"/>
  <c r="C1261" i="10"/>
  <c r="C1254" i="10"/>
  <c r="C1233" i="10"/>
  <c r="C1218" i="10"/>
  <c r="C1202" i="10"/>
  <c r="C1152" i="10"/>
  <c r="C1145" i="10"/>
  <c r="C1138" i="10"/>
  <c r="C1132" i="10"/>
  <c r="C1128" i="10"/>
  <c r="C1122" i="10"/>
  <c r="C1106" i="10"/>
  <c r="C1097" i="10"/>
  <c r="C1087" i="10"/>
  <c r="C1078" i="10"/>
  <c r="C1070" i="10"/>
  <c r="C1065" i="10"/>
  <c r="C1062" i="10"/>
  <c r="C1049" i="10"/>
  <c r="C1041" i="10"/>
  <c r="C1029" i="10"/>
  <c r="C1020" i="10"/>
  <c r="C1008" i="10"/>
  <c r="C999" i="10"/>
  <c r="C987" i="10"/>
  <c r="C980" i="10"/>
  <c r="C970" i="10"/>
  <c r="C962" i="10"/>
  <c r="C955" i="10"/>
  <c r="C945" i="10"/>
  <c r="C941" i="10"/>
  <c r="C931" i="10"/>
  <c r="C920" i="10"/>
  <c r="C911" i="10"/>
  <c r="C903" i="10"/>
  <c r="C897" i="10"/>
  <c r="C888" i="10"/>
  <c r="C882" i="10"/>
  <c r="C873" i="10"/>
  <c r="C867" i="10"/>
  <c r="C860" i="10"/>
  <c r="C848" i="10"/>
  <c r="C839" i="10"/>
  <c r="C834" i="10"/>
  <c r="C826" i="10"/>
  <c r="C810" i="10"/>
  <c r="C801" i="10"/>
  <c r="C792" i="10"/>
  <c r="C786" i="10"/>
  <c r="C778" i="10"/>
  <c r="C772" i="10"/>
  <c r="C768" i="10"/>
  <c r="C759" i="10"/>
  <c r="C757" i="10"/>
  <c r="C749" i="10"/>
  <c r="C744" i="10"/>
  <c r="C732" i="10"/>
  <c r="C719" i="10"/>
  <c r="C712" i="10"/>
  <c r="C698" i="10"/>
  <c r="C674" i="10"/>
  <c r="C666" i="10"/>
  <c r="C662" i="10"/>
  <c r="C660" i="10"/>
  <c r="C650" i="10"/>
  <c r="C645" i="10"/>
  <c r="C643" i="10"/>
  <c r="C637" i="10"/>
  <c r="C635" i="10"/>
  <c r="C633" i="10"/>
  <c r="C628" i="10"/>
  <c r="C616" i="10"/>
  <c r="C603" i="10"/>
  <c r="C596" i="10"/>
  <c r="C574" i="10"/>
  <c r="C569" i="10"/>
  <c r="C563" i="10"/>
  <c r="C558" i="10"/>
  <c r="C547" i="10"/>
  <c r="C537" i="10"/>
  <c r="C531" i="10"/>
  <c r="C524" i="10"/>
  <c r="C520" i="10"/>
  <c r="C510" i="10"/>
  <c r="C502" i="10"/>
  <c r="C493" i="10"/>
  <c r="C483" i="10"/>
  <c r="C476" i="10"/>
  <c r="C471" i="10"/>
  <c r="C467" i="10"/>
  <c r="C462" i="10"/>
  <c r="C451" i="10"/>
  <c r="C445" i="10"/>
  <c r="C440" i="10"/>
  <c r="C435" i="10"/>
  <c r="C429" i="10"/>
  <c r="C424" i="10"/>
  <c r="C417" i="10"/>
  <c r="C413" i="10"/>
  <c r="C403" i="10"/>
  <c r="C394" i="10"/>
  <c r="C387" i="10"/>
  <c r="C378" i="10"/>
  <c r="C372" i="10"/>
  <c r="C366" i="10"/>
  <c r="C359" i="10"/>
  <c r="C349" i="10"/>
  <c r="C340" i="10"/>
  <c r="C327" i="10"/>
  <c r="C316" i="10"/>
  <c r="C310" i="10"/>
  <c r="C307" i="10"/>
  <c r="C293" i="10"/>
  <c r="C283" i="10"/>
  <c r="C277" i="10"/>
  <c r="C270" i="10"/>
  <c r="C261" i="10"/>
  <c r="C250" i="10"/>
  <c r="C237" i="10"/>
  <c r="C227" i="10"/>
  <c r="C202" i="10"/>
  <c r="C190" i="10"/>
  <c r="C177" i="10"/>
  <c r="C164" i="10"/>
  <c r="C156" i="10"/>
  <c r="C150" i="10"/>
  <c r="C144" i="10"/>
  <c r="C138" i="10"/>
  <c r="C131" i="10"/>
  <c r="C123" i="10"/>
  <c r="C110" i="10"/>
  <c r="C104" i="10"/>
  <c r="C97" i="10"/>
  <c r="C93" i="10"/>
  <c r="C78" i="10"/>
  <c r="C62" i="10"/>
  <c r="C48" i="10"/>
  <c r="C45" i="10"/>
  <c r="C42" i="10"/>
  <c r="C39" i="10"/>
  <c r="C36" i="10"/>
  <c r="C33" i="10"/>
  <c r="C29" i="10"/>
  <c r="C22" i="10"/>
  <c r="C15" i="10"/>
  <c r="F2074" i="10"/>
  <c r="F2073" i="10"/>
  <c r="F2072" i="10"/>
  <c r="F2071" i="10"/>
  <c r="F2070" i="10"/>
  <c r="F2069" i="10"/>
  <c r="F2068" i="10"/>
  <c r="F2067" i="10"/>
  <c r="F2066" i="10"/>
  <c r="E2065" i="10"/>
  <c r="E115" i="11" s="1"/>
  <c r="D2065" i="10"/>
  <c r="D115" i="11" s="1"/>
  <c r="F2063" i="10"/>
  <c r="F2062" i="10"/>
  <c r="F2061" i="10"/>
  <c r="F2060" i="10"/>
  <c r="F2059" i="10"/>
  <c r="F2057" i="10"/>
  <c r="F2056" i="10"/>
  <c r="F2055" i="10"/>
  <c r="F2054" i="10"/>
  <c r="F2053" i="10"/>
  <c r="F2052" i="10"/>
  <c r="E2058" i="10"/>
  <c r="E2049" i="10" s="1"/>
  <c r="E114" i="11" s="1"/>
  <c r="D2058" i="10"/>
  <c r="D2051" i="10"/>
  <c r="F1592" i="10"/>
  <c r="F1591" i="10"/>
  <c r="F1590" i="10"/>
  <c r="F1589" i="10"/>
  <c r="F1588" i="10"/>
  <c r="F1587" i="10"/>
  <c r="F1586" i="10"/>
  <c r="F1585" i="10"/>
  <c r="F1584" i="10"/>
  <c r="F1583" i="10"/>
  <c r="F1582" i="10"/>
  <c r="E1581" i="10"/>
  <c r="D1581" i="10"/>
  <c r="F1580" i="10"/>
  <c r="F1579" i="10"/>
  <c r="F1578" i="10"/>
  <c r="F1577" i="10"/>
  <c r="F1576" i="10"/>
  <c r="F1575" i="10"/>
  <c r="F1574" i="10"/>
  <c r="F1573" i="10"/>
  <c r="E1572" i="10"/>
  <c r="D1572" i="10"/>
  <c r="E2036" i="10"/>
  <c r="D2036" i="10"/>
  <c r="E2023" i="10"/>
  <c r="D2023" i="10"/>
  <c r="E2011" i="10"/>
  <c r="D2011" i="10"/>
  <c r="E2004" i="10"/>
  <c r="D2004" i="10"/>
  <c r="D1196" i="10"/>
  <c r="E1196" i="10"/>
  <c r="D417" i="10"/>
  <c r="E417" i="10"/>
  <c r="F16" i="10"/>
  <c r="F17" i="10"/>
  <c r="F19" i="10"/>
  <c r="F20" i="10"/>
  <c r="F21" i="10"/>
  <c r="F23" i="10"/>
  <c r="F24" i="10"/>
  <c r="F25" i="10"/>
  <c r="F26" i="10"/>
  <c r="F27" i="10"/>
  <c r="F28" i="10"/>
  <c r="E62" i="16"/>
  <c r="E61" i="16"/>
  <c r="E60" i="16"/>
  <c r="E50" i="16"/>
  <c r="E49" i="16"/>
  <c r="E48" i="16"/>
  <c r="E47" i="16"/>
  <c r="E46" i="16"/>
  <c r="E45" i="16"/>
  <c r="E44" i="16"/>
  <c r="E43" i="16"/>
  <c r="E42" i="16"/>
  <c r="E22" i="16"/>
  <c r="E21" i="16"/>
  <c r="E20" i="16"/>
  <c r="E19" i="16"/>
  <c r="E18" i="16"/>
  <c r="E17" i="16"/>
  <c r="E16" i="16"/>
  <c r="E15" i="16"/>
  <c r="E14" i="16"/>
  <c r="E13" i="16"/>
  <c r="E59" i="16" l="1"/>
  <c r="D2049" i="10"/>
  <c r="C2049" i="10"/>
  <c r="C114" i="11" s="1"/>
  <c r="C1817" i="10"/>
  <c r="D2002" i="10"/>
  <c r="D112" i="11" s="1"/>
  <c r="C1834" i="10"/>
  <c r="F2065" i="10"/>
  <c r="C1760" i="10"/>
  <c r="C1724" i="10"/>
  <c r="C1320" i="10"/>
  <c r="C1201" i="10"/>
  <c r="C791" i="10"/>
  <c r="C1464" i="10"/>
  <c r="F115" i="11"/>
  <c r="F1581" i="10"/>
  <c r="C837" i="10"/>
  <c r="C1867" i="10"/>
  <c r="E1571" i="10"/>
  <c r="E85" i="11" s="1"/>
  <c r="C1942" i="10"/>
  <c r="C1895" i="10"/>
  <c r="C766" i="10"/>
  <c r="C1518" i="10"/>
  <c r="C776" i="10"/>
  <c r="C1060" i="10"/>
  <c r="C65" i="11" s="1"/>
  <c r="C1677" i="10"/>
  <c r="C1408" i="10"/>
  <c r="C979" i="10"/>
  <c r="C60" i="11" s="1"/>
  <c r="C1487" i="10"/>
  <c r="C1774" i="10"/>
  <c r="C1332" i="10"/>
  <c r="C1657" i="10"/>
  <c r="C1884" i="10"/>
  <c r="C939" i="10"/>
  <c r="C1359" i="10"/>
  <c r="C1552" i="10"/>
  <c r="C1919" i="10"/>
  <c r="C1710" i="10"/>
  <c r="C1121" i="10"/>
  <c r="C859" i="10"/>
  <c r="C1594" i="10"/>
  <c r="C998" i="10"/>
  <c r="C1435" i="10"/>
  <c r="C1959" i="10"/>
  <c r="C121" i="10"/>
  <c r="C1621" i="10"/>
  <c r="C1040" i="10"/>
  <c r="C2021" i="10"/>
  <c r="C113" i="11" s="1"/>
  <c r="C568" i="10"/>
  <c r="C519" i="10"/>
  <c r="C586" i="10"/>
  <c r="C697" i="10"/>
  <c r="C809" i="10"/>
  <c r="C1741" i="10"/>
  <c r="C659" i="10"/>
  <c r="C1069" i="10"/>
  <c r="D2021" i="10"/>
  <c r="D113" i="11" s="1"/>
  <c r="C954" i="10"/>
  <c r="C482" i="10"/>
  <c r="C627" i="10"/>
  <c r="C743" i="10"/>
  <c r="C1630" i="10"/>
  <c r="C2002" i="10"/>
  <c r="C112" i="11" s="1"/>
  <c r="C1253" i="10"/>
  <c r="C1784" i="10"/>
  <c r="C881" i="10"/>
  <c r="C546" i="10"/>
  <c r="C1018" i="10"/>
  <c r="C1161" i="10"/>
  <c r="C69" i="11" s="1"/>
  <c r="C1571" i="10"/>
  <c r="C85" i="11" s="1"/>
  <c r="C1806" i="10"/>
  <c r="C896" i="10"/>
  <c r="C450" i="10"/>
  <c r="C1190" i="10"/>
  <c r="C70" i="11" s="1"/>
  <c r="C434" i="10"/>
  <c r="C422" i="10"/>
  <c r="C411" i="10"/>
  <c r="C392" i="10"/>
  <c r="C348" i="10"/>
  <c r="C315" i="10"/>
  <c r="C305" i="10"/>
  <c r="C249" i="10"/>
  <c r="C226" i="10"/>
  <c r="C189" i="10"/>
  <c r="C163" i="10"/>
  <c r="C148" i="10"/>
  <c r="C136" i="10"/>
  <c r="C103" i="10"/>
  <c r="C102" i="10" s="1"/>
  <c r="C91" i="10"/>
  <c r="C60" i="10"/>
  <c r="C14" i="10"/>
  <c r="E41" i="16"/>
  <c r="E12" i="16"/>
  <c r="E2002" i="10"/>
  <c r="E112" i="11" s="1"/>
  <c r="F2058" i="10"/>
  <c r="F2051" i="10"/>
  <c r="E2021" i="10"/>
  <c r="E113" i="11" s="1"/>
  <c r="F113" i="11" s="1"/>
  <c r="D1571" i="10"/>
  <c r="D85" i="11" s="1"/>
  <c r="F1572" i="10"/>
  <c r="F2049" i="10" l="1"/>
  <c r="D114" i="11"/>
  <c r="E11" i="16"/>
  <c r="C1486" i="10"/>
  <c r="C1941" i="10"/>
  <c r="F1571" i="10"/>
  <c r="C1200" i="10"/>
  <c r="C765" i="10"/>
  <c r="C997" i="10"/>
  <c r="C1120" i="10"/>
  <c r="C1849" i="10"/>
  <c r="C858" i="10"/>
  <c r="C1709" i="10"/>
  <c r="C1319" i="10"/>
  <c r="C1593" i="10"/>
  <c r="C1783" i="10"/>
  <c r="C585" i="10"/>
  <c r="C421" i="10"/>
  <c r="C304" i="10"/>
  <c r="C162" i="10"/>
  <c r="C59" i="10"/>
  <c r="G9" i="15"/>
  <c r="D1706" i="10"/>
  <c r="E48" i="10"/>
  <c r="E42" i="10"/>
  <c r="E1817" i="10"/>
  <c r="C13" i="10" l="1"/>
  <c r="D1817" i="10" l="1"/>
  <c r="E660" i="10"/>
  <c r="D660" i="10"/>
  <c r="E467" i="10"/>
  <c r="D467" i="10"/>
  <c r="E45" i="10"/>
  <c r="E39" i="10"/>
  <c r="E33" i="10"/>
  <c r="D36" i="10"/>
  <c r="F31" i="10"/>
  <c r="E1299" i="10"/>
  <c r="D1299" i="10"/>
  <c r="E674" i="10"/>
  <c r="D674" i="10"/>
  <c r="E759" i="10"/>
  <c r="D759" i="10"/>
  <c r="E757" i="10"/>
  <c r="D757" i="10"/>
  <c r="E476" i="10"/>
  <c r="D476" i="10"/>
  <c r="E471" i="10"/>
  <c r="D471" i="10"/>
  <c r="E445" i="10"/>
  <c r="D445" i="10"/>
  <c r="E1756" i="10"/>
  <c r="E1706" i="10"/>
  <c r="E1549" i="10"/>
  <c r="E1316" i="10"/>
  <c r="E15" i="10"/>
  <c r="E22" i="10"/>
  <c r="E1747" i="10"/>
  <c r="E1743" i="10"/>
  <c r="E387" i="10"/>
  <c r="E366" i="10"/>
  <c r="E359" i="10"/>
  <c r="E349" i="10"/>
  <c r="E1369" i="10"/>
  <c r="E1384" i="10"/>
  <c r="E1390" i="10"/>
  <c r="E1398" i="10"/>
  <c r="E372" i="10"/>
  <c r="E378" i="10"/>
  <c r="F757" i="10" l="1"/>
  <c r="F445" i="10"/>
  <c r="F759" i="10"/>
  <c r="F476" i="10"/>
  <c r="F471" i="10"/>
  <c r="E1741" i="10"/>
  <c r="D1747" i="10"/>
  <c r="D462" i="10" l="1"/>
  <c r="D451" i="10"/>
  <c r="D440" i="10"/>
  <c r="D429" i="10"/>
  <c r="D435" i="10"/>
  <c r="D450" i="10" l="1"/>
  <c r="D434" i="10"/>
  <c r="D78" i="10"/>
  <c r="E1960" i="10"/>
  <c r="E1776" i="10"/>
  <c r="E1623" i="10"/>
  <c r="E1436" i="10"/>
  <c r="D563" i="10"/>
  <c r="D569" i="10"/>
  <c r="D574" i="10"/>
  <c r="D596" i="10"/>
  <c r="D603" i="10"/>
  <c r="D616" i="10"/>
  <c r="E502" i="10"/>
  <c r="E307" i="10"/>
  <c r="D568" i="10" l="1"/>
  <c r="D586" i="10"/>
  <c r="D1743" i="10"/>
  <c r="D366" i="10"/>
  <c r="D359" i="10"/>
  <c r="E662" i="10"/>
  <c r="D662" i="10"/>
  <c r="E637" i="10"/>
  <c r="D637" i="10"/>
  <c r="E635" i="10"/>
  <c r="D635" i="10"/>
  <c r="E633" i="10"/>
  <c r="D633" i="10"/>
  <c r="E650" i="10"/>
  <c r="D650" i="10"/>
  <c r="E645" i="10"/>
  <c r="D645" i="10"/>
  <c r="E643" i="10"/>
  <c r="D643" i="10"/>
  <c r="D387" i="10"/>
  <c r="D378" i="10"/>
  <c r="D1316" i="10"/>
  <c r="D1779" i="10"/>
  <c r="E1779" i="10"/>
  <c r="D1776" i="10"/>
  <c r="F1776" i="10" s="1"/>
  <c r="F1778" i="10"/>
  <c r="F1777" i="10"/>
  <c r="F1782" i="10"/>
  <c r="D1302" i="10"/>
  <c r="E1302" i="10"/>
  <c r="F1310" i="10"/>
  <c r="F1309" i="10"/>
  <c r="F1308" i="10"/>
  <c r="F1307" i="10"/>
  <c r="F1306" i="10"/>
  <c r="F1305" i="10"/>
  <c r="F1304" i="10"/>
  <c r="F1303" i="10"/>
  <c r="F692" i="10"/>
  <c r="E616" i="10"/>
  <c r="E596" i="10"/>
  <c r="D1774" i="10" l="1"/>
  <c r="F633" i="10"/>
  <c r="F635" i="10"/>
  <c r="F637" i="10"/>
  <c r="F650" i="10"/>
  <c r="F378" i="10"/>
  <c r="F387" i="10"/>
  <c r="E1774" i="10"/>
  <c r="F1316" i="10"/>
  <c r="F1302" i="10"/>
  <c r="D42" i="10" l="1"/>
  <c r="D1218" i="10"/>
  <c r="E1218" i="10"/>
  <c r="C97" i="11"/>
  <c r="D1717" i="10"/>
  <c r="F1416" i="10"/>
  <c r="F176" i="10"/>
  <c r="F30" i="10"/>
  <c r="F32" i="10"/>
  <c r="F34" i="10"/>
  <c r="F35" i="10"/>
  <c r="F37" i="10"/>
  <c r="F38" i="10"/>
  <c r="F40" i="10"/>
  <c r="F41" i="10"/>
  <c r="F43" i="10"/>
  <c r="F44" i="10"/>
  <c r="F46" i="10"/>
  <c r="F47" i="10"/>
  <c r="F49" i="10"/>
  <c r="F50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4" i="10"/>
  <c r="F95" i="10"/>
  <c r="F96" i="10"/>
  <c r="F98" i="10"/>
  <c r="F99" i="10"/>
  <c r="F100" i="10"/>
  <c r="F101" i="10"/>
  <c r="F120" i="10"/>
  <c r="F105" i="10"/>
  <c r="F106" i="10"/>
  <c r="F107" i="10"/>
  <c r="F108" i="10"/>
  <c r="F109" i="10"/>
  <c r="F111" i="10"/>
  <c r="F112" i="10"/>
  <c r="F113" i="10"/>
  <c r="F114" i="10"/>
  <c r="F115" i="10"/>
  <c r="F116" i="10"/>
  <c r="F117" i="10"/>
  <c r="F118" i="10"/>
  <c r="F124" i="10"/>
  <c r="F125" i="10"/>
  <c r="F126" i="10"/>
  <c r="F127" i="10"/>
  <c r="F128" i="10"/>
  <c r="F129" i="10"/>
  <c r="F130" i="10"/>
  <c r="F132" i="10"/>
  <c r="F133" i="10"/>
  <c r="F134" i="10"/>
  <c r="F135" i="10"/>
  <c r="F139" i="10"/>
  <c r="F140" i="10"/>
  <c r="F141" i="10"/>
  <c r="F142" i="10"/>
  <c r="F143" i="10"/>
  <c r="F145" i="10"/>
  <c r="F146" i="10"/>
  <c r="F147" i="10"/>
  <c r="F151" i="10"/>
  <c r="F152" i="10"/>
  <c r="F153" i="10"/>
  <c r="F154" i="10"/>
  <c r="F155" i="10"/>
  <c r="F157" i="10"/>
  <c r="F158" i="10"/>
  <c r="F159" i="10"/>
  <c r="F160" i="10"/>
  <c r="F161" i="10"/>
  <c r="F165" i="10"/>
  <c r="F166" i="10"/>
  <c r="F167" i="10"/>
  <c r="F168" i="10"/>
  <c r="F169" i="10"/>
  <c r="F170" i="10"/>
  <c r="F171" i="10"/>
  <c r="F172" i="10"/>
  <c r="F173" i="10"/>
  <c r="F174" i="10"/>
  <c r="F175" i="10"/>
  <c r="F178" i="10"/>
  <c r="F179" i="10"/>
  <c r="F180" i="10"/>
  <c r="F181" i="10"/>
  <c r="F182" i="10"/>
  <c r="F183" i="10"/>
  <c r="F184" i="10"/>
  <c r="F185" i="10"/>
  <c r="F186" i="10"/>
  <c r="F187" i="10"/>
  <c r="F188" i="10"/>
  <c r="F191" i="10"/>
  <c r="F192" i="10"/>
  <c r="F193" i="10"/>
  <c r="F194" i="10"/>
  <c r="F195" i="10"/>
  <c r="F196" i="10"/>
  <c r="F197" i="10"/>
  <c r="F198" i="10"/>
  <c r="F199" i="10"/>
  <c r="F200" i="10"/>
  <c r="F201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8" i="10"/>
  <c r="F229" i="10"/>
  <c r="F230" i="10"/>
  <c r="F231" i="10"/>
  <c r="F232" i="10"/>
  <c r="F233" i="10"/>
  <c r="F234" i="10"/>
  <c r="F235" i="10"/>
  <c r="F236" i="10"/>
  <c r="F238" i="10"/>
  <c r="F239" i="10"/>
  <c r="F240" i="10"/>
  <c r="F241" i="10"/>
  <c r="F242" i="10"/>
  <c r="F243" i="10"/>
  <c r="F244" i="10"/>
  <c r="F245" i="10"/>
  <c r="F246" i="10"/>
  <c r="F247" i="10"/>
  <c r="F248" i="10"/>
  <c r="F251" i="10"/>
  <c r="F252" i="10"/>
  <c r="F253" i="10"/>
  <c r="F254" i="10"/>
  <c r="F255" i="10"/>
  <c r="F256" i="10"/>
  <c r="F257" i="10"/>
  <c r="F258" i="10"/>
  <c r="F259" i="10"/>
  <c r="F260" i="10"/>
  <c r="F262" i="10"/>
  <c r="F263" i="10"/>
  <c r="F264" i="10"/>
  <c r="F265" i="10"/>
  <c r="F266" i="10"/>
  <c r="F267" i="10"/>
  <c r="F268" i="10"/>
  <c r="F269" i="10"/>
  <c r="F271" i="10"/>
  <c r="F272" i="10"/>
  <c r="F273" i="10"/>
  <c r="F274" i="10"/>
  <c r="F275" i="10"/>
  <c r="F276" i="10"/>
  <c r="F278" i="10"/>
  <c r="F279" i="10"/>
  <c r="F280" i="10"/>
  <c r="F281" i="10"/>
  <c r="F282" i="10"/>
  <c r="F284" i="10"/>
  <c r="F285" i="10"/>
  <c r="F286" i="10"/>
  <c r="F287" i="10"/>
  <c r="F288" i="10"/>
  <c r="F289" i="10"/>
  <c r="F290" i="10"/>
  <c r="F291" i="10"/>
  <c r="F292" i="10"/>
  <c r="F294" i="10"/>
  <c r="F295" i="10"/>
  <c r="F296" i="10"/>
  <c r="F297" i="10"/>
  <c r="F298" i="10"/>
  <c r="F299" i="10"/>
  <c r="F300" i="10"/>
  <c r="F301" i="10"/>
  <c r="F302" i="10"/>
  <c r="F303" i="10"/>
  <c r="F308" i="10"/>
  <c r="F309" i="10"/>
  <c r="F311" i="10"/>
  <c r="F312" i="10"/>
  <c r="F313" i="10"/>
  <c r="F314" i="10"/>
  <c r="F317" i="10"/>
  <c r="F318" i="10"/>
  <c r="F319" i="10"/>
  <c r="F320" i="10"/>
  <c r="F321" i="10"/>
  <c r="F322" i="10"/>
  <c r="F323" i="10"/>
  <c r="F324" i="10"/>
  <c r="F325" i="10"/>
  <c r="F326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1" i="10"/>
  <c r="F342" i="10"/>
  <c r="F343" i="10"/>
  <c r="F344" i="10"/>
  <c r="F345" i="10"/>
  <c r="F346" i="10"/>
  <c r="F347" i="10"/>
  <c r="F350" i="10"/>
  <c r="F351" i="10"/>
  <c r="F352" i="10"/>
  <c r="F353" i="10"/>
  <c r="F363" i="10"/>
  <c r="F354" i="10"/>
  <c r="F355" i="10"/>
  <c r="F356" i="10"/>
  <c r="F357" i="10"/>
  <c r="F358" i="10"/>
  <c r="F379" i="10"/>
  <c r="F360" i="10"/>
  <c r="F380" i="10"/>
  <c r="F361" i="10"/>
  <c r="F382" i="10"/>
  <c r="F362" i="10"/>
  <c r="F383" i="10"/>
  <c r="F384" i="10"/>
  <c r="F385" i="10"/>
  <c r="F386" i="10"/>
  <c r="F365" i="10"/>
  <c r="F367" i="10"/>
  <c r="F368" i="10"/>
  <c r="F369" i="10"/>
  <c r="F381" i="10"/>
  <c r="F364" i="10"/>
  <c r="F388" i="10"/>
  <c r="F371" i="10"/>
  <c r="F391" i="10"/>
  <c r="F373" i="10"/>
  <c r="F374" i="10"/>
  <c r="F390" i="10"/>
  <c r="F375" i="10"/>
  <c r="F370" i="10"/>
  <c r="F376" i="10"/>
  <c r="F389" i="10"/>
  <c r="F377" i="10"/>
  <c r="F395" i="10"/>
  <c r="F396" i="10"/>
  <c r="F397" i="10"/>
  <c r="F398" i="10"/>
  <c r="F399" i="10"/>
  <c r="F400" i="10"/>
  <c r="F401" i="10"/>
  <c r="F402" i="10"/>
  <c r="F404" i="10"/>
  <c r="F405" i="10"/>
  <c r="F406" i="10"/>
  <c r="F407" i="10"/>
  <c r="F408" i="10"/>
  <c r="F409" i="10"/>
  <c r="F410" i="10"/>
  <c r="F414" i="10"/>
  <c r="F415" i="10"/>
  <c r="F416" i="10"/>
  <c r="F418" i="10"/>
  <c r="F419" i="10"/>
  <c r="F420" i="10"/>
  <c r="F425" i="10"/>
  <c r="F426" i="10"/>
  <c r="F427" i="10"/>
  <c r="F428" i="10"/>
  <c r="F430" i="10"/>
  <c r="F431" i="10"/>
  <c r="F432" i="10"/>
  <c r="F433" i="10"/>
  <c r="F436" i="10"/>
  <c r="F449" i="10"/>
  <c r="F437" i="10"/>
  <c r="F447" i="10"/>
  <c r="F438" i="10"/>
  <c r="F439" i="10"/>
  <c r="F446" i="10"/>
  <c r="F441" i="10"/>
  <c r="F448" i="10"/>
  <c r="F442" i="10"/>
  <c r="F443" i="10"/>
  <c r="F444" i="10"/>
  <c r="F452" i="10"/>
  <c r="F453" i="10"/>
  <c r="F454" i="10"/>
  <c r="F455" i="10"/>
  <c r="F456" i="10"/>
  <c r="F457" i="10"/>
  <c r="F474" i="10"/>
  <c r="F461" i="10"/>
  <c r="F472" i="10"/>
  <c r="F459" i="10"/>
  <c r="F473" i="10"/>
  <c r="F475" i="10"/>
  <c r="F460" i="10"/>
  <c r="F477" i="10"/>
  <c r="F463" i="10"/>
  <c r="F478" i="10"/>
  <c r="F464" i="10"/>
  <c r="F465" i="10"/>
  <c r="F466" i="10"/>
  <c r="F468" i="10"/>
  <c r="F469" i="10"/>
  <c r="F479" i="10"/>
  <c r="F470" i="10"/>
  <c r="F481" i="10"/>
  <c r="F484" i="10"/>
  <c r="F485" i="10"/>
  <c r="F486" i="10"/>
  <c r="F487" i="10"/>
  <c r="F488" i="10"/>
  <c r="F489" i="10"/>
  <c r="F490" i="10"/>
  <c r="F491" i="10"/>
  <c r="F492" i="10"/>
  <c r="F494" i="10"/>
  <c r="F495" i="10"/>
  <c r="F496" i="10"/>
  <c r="F497" i="10"/>
  <c r="F498" i="10"/>
  <c r="F499" i="10"/>
  <c r="F500" i="10"/>
  <c r="F501" i="10"/>
  <c r="F503" i="10"/>
  <c r="F504" i="10"/>
  <c r="F505" i="10"/>
  <c r="F506" i="10"/>
  <c r="F507" i="10"/>
  <c r="F508" i="10"/>
  <c r="F509" i="10"/>
  <c r="F511" i="10"/>
  <c r="F512" i="10"/>
  <c r="F513" i="10"/>
  <c r="F514" i="10"/>
  <c r="F515" i="10"/>
  <c r="F516" i="10"/>
  <c r="F517" i="10"/>
  <c r="F518" i="10"/>
  <c r="F521" i="10"/>
  <c r="F522" i="10"/>
  <c r="F523" i="10"/>
  <c r="F525" i="10"/>
  <c r="F526" i="10"/>
  <c r="F527" i="10"/>
  <c r="F528" i="10"/>
  <c r="F529" i="10"/>
  <c r="F530" i="10"/>
  <c r="F532" i="10"/>
  <c r="F533" i="10"/>
  <c r="F534" i="10"/>
  <c r="F535" i="10"/>
  <c r="F536" i="10"/>
  <c r="F538" i="10"/>
  <c r="F539" i="10"/>
  <c r="F540" i="10"/>
  <c r="F541" i="10"/>
  <c r="F542" i="10"/>
  <c r="F543" i="10"/>
  <c r="F544" i="10"/>
  <c r="F545" i="10"/>
  <c r="F548" i="10"/>
  <c r="F549" i="10"/>
  <c r="F550" i="10"/>
  <c r="F551" i="10"/>
  <c r="F552" i="10"/>
  <c r="F553" i="10"/>
  <c r="F554" i="10"/>
  <c r="F555" i="10"/>
  <c r="F556" i="10"/>
  <c r="F557" i="10"/>
  <c r="F559" i="10"/>
  <c r="F560" i="10"/>
  <c r="F561" i="10"/>
  <c r="F562" i="10"/>
  <c r="F564" i="10"/>
  <c r="F565" i="10"/>
  <c r="F566" i="10"/>
  <c r="F567" i="10"/>
  <c r="F570" i="10"/>
  <c r="F571" i="10"/>
  <c r="F572" i="10"/>
  <c r="F573" i="10"/>
  <c r="F575" i="10"/>
  <c r="F576" i="10"/>
  <c r="F577" i="10"/>
  <c r="F578" i="10"/>
  <c r="F579" i="10"/>
  <c r="F580" i="10"/>
  <c r="F581" i="10"/>
  <c r="F582" i="10"/>
  <c r="F583" i="10"/>
  <c r="F584" i="10"/>
  <c r="F588" i="10"/>
  <c r="F595" i="10"/>
  <c r="F589" i="10"/>
  <c r="F590" i="10"/>
  <c r="F591" i="10"/>
  <c r="F592" i="10"/>
  <c r="F593" i="10"/>
  <c r="F594" i="10"/>
  <c r="F597" i="10"/>
  <c r="F598" i="10"/>
  <c r="F599" i="10"/>
  <c r="F600" i="10"/>
  <c r="F601" i="10"/>
  <c r="F602" i="10"/>
  <c r="F624" i="10"/>
  <c r="F604" i="10"/>
  <c r="F605" i="10"/>
  <c r="F606" i="10"/>
  <c r="F607" i="10"/>
  <c r="F608" i="10"/>
  <c r="F609" i="10"/>
  <c r="F610" i="10"/>
  <c r="F611" i="10"/>
  <c r="F612" i="10"/>
  <c r="F614" i="10"/>
  <c r="F613" i="10"/>
  <c r="F615" i="10"/>
  <c r="F617" i="10"/>
  <c r="F618" i="10"/>
  <c r="F619" i="10"/>
  <c r="F620" i="10"/>
  <c r="F621" i="10"/>
  <c r="F622" i="10"/>
  <c r="F626" i="10"/>
  <c r="F629" i="10"/>
  <c r="F630" i="10"/>
  <c r="F631" i="10"/>
  <c r="F632" i="10"/>
  <c r="F634" i="10"/>
  <c r="F636" i="10"/>
  <c r="F638" i="10"/>
  <c r="F642" i="10"/>
  <c r="F640" i="10"/>
  <c r="F641" i="10"/>
  <c r="F646" i="10"/>
  <c r="F644" i="10"/>
  <c r="F647" i="10"/>
  <c r="F649" i="10"/>
  <c r="F651" i="10"/>
  <c r="F652" i="10"/>
  <c r="F648" i="10"/>
  <c r="F653" i="10"/>
  <c r="F654" i="10"/>
  <c r="F655" i="10"/>
  <c r="F656" i="10"/>
  <c r="F657" i="10"/>
  <c r="F658" i="10"/>
  <c r="F661" i="10"/>
  <c r="F696" i="10"/>
  <c r="F663" i="10"/>
  <c r="F664" i="10"/>
  <c r="F665" i="10"/>
  <c r="F694" i="10"/>
  <c r="F667" i="10"/>
  <c r="F668" i="10"/>
  <c r="F669" i="10"/>
  <c r="F670" i="10"/>
  <c r="F671" i="10"/>
  <c r="F672" i="10"/>
  <c r="F673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3" i="10"/>
  <c r="F714" i="10"/>
  <c r="F715" i="10"/>
  <c r="F716" i="10"/>
  <c r="F717" i="10"/>
  <c r="F718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3" i="10"/>
  <c r="F734" i="10"/>
  <c r="F735" i="10"/>
  <c r="F736" i="10"/>
  <c r="F737" i="10"/>
  <c r="F738" i="10"/>
  <c r="F739" i="10"/>
  <c r="F740" i="10"/>
  <c r="F741" i="10"/>
  <c r="F742" i="10"/>
  <c r="F745" i="10"/>
  <c r="F746" i="10"/>
  <c r="F747" i="10"/>
  <c r="F748" i="10"/>
  <c r="F750" i="10"/>
  <c r="F751" i="10"/>
  <c r="F752" i="10"/>
  <c r="F753" i="10"/>
  <c r="F754" i="10"/>
  <c r="F760" i="10"/>
  <c r="F758" i="10"/>
  <c r="F755" i="10"/>
  <c r="F756" i="10"/>
  <c r="F763" i="10"/>
  <c r="F764" i="10"/>
  <c r="F769" i="10"/>
  <c r="F770" i="10"/>
  <c r="F771" i="10"/>
  <c r="F773" i="10"/>
  <c r="F774" i="10"/>
  <c r="F775" i="10"/>
  <c r="F779" i="10"/>
  <c r="F780" i="10"/>
  <c r="F781" i="10"/>
  <c r="F782" i="10"/>
  <c r="F783" i="10"/>
  <c r="F784" i="10"/>
  <c r="F785" i="10"/>
  <c r="F787" i="10"/>
  <c r="F788" i="10"/>
  <c r="F789" i="10"/>
  <c r="F790" i="10"/>
  <c r="F793" i="10"/>
  <c r="F794" i="10"/>
  <c r="F795" i="10"/>
  <c r="F796" i="10"/>
  <c r="F797" i="10"/>
  <c r="F798" i="10"/>
  <c r="F799" i="10"/>
  <c r="F800" i="10"/>
  <c r="F802" i="10"/>
  <c r="F803" i="10"/>
  <c r="F804" i="10"/>
  <c r="F805" i="10"/>
  <c r="F806" i="10"/>
  <c r="F807" i="10"/>
  <c r="F808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7" i="10"/>
  <c r="F828" i="10"/>
  <c r="F829" i="10"/>
  <c r="F830" i="10"/>
  <c r="F831" i="10"/>
  <c r="F832" i="10"/>
  <c r="F833" i="10"/>
  <c r="F835" i="10"/>
  <c r="F836" i="10"/>
  <c r="F840" i="10"/>
  <c r="F841" i="10"/>
  <c r="F842" i="10"/>
  <c r="F843" i="10"/>
  <c r="F844" i="10"/>
  <c r="F845" i="10"/>
  <c r="F846" i="10"/>
  <c r="F847" i="10"/>
  <c r="F849" i="10"/>
  <c r="F850" i="10"/>
  <c r="F851" i="10"/>
  <c r="F852" i="10"/>
  <c r="F853" i="10"/>
  <c r="F854" i="10"/>
  <c r="F855" i="10"/>
  <c r="F856" i="10"/>
  <c r="F857" i="10"/>
  <c r="F861" i="10"/>
  <c r="F862" i="10"/>
  <c r="F863" i="10"/>
  <c r="F864" i="10"/>
  <c r="F865" i="10"/>
  <c r="F866" i="10"/>
  <c r="F868" i="10"/>
  <c r="F869" i="10"/>
  <c r="F870" i="10"/>
  <c r="F871" i="10"/>
  <c r="F872" i="10"/>
  <c r="F874" i="10"/>
  <c r="F875" i="10"/>
  <c r="F876" i="10"/>
  <c r="F877" i="10"/>
  <c r="F878" i="10"/>
  <c r="F879" i="10"/>
  <c r="F880" i="10"/>
  <c r="F883" i="10"/>
  <c r="F884" i="10"/>
  <c r="F885" i="10"/>
  <c r="F886" i="10"/>
  <c r="F887" i="10"/>
  <c r="F889" i="10"/>
  <c r="F890" i="10"/>
  <c r="F891" i="10"/>
  <c r="F892" i="10"/>
  <c r="F893" i="10"/>
  <c r="F894" i="10"/>
  <c r="F895" i="10"/>
  <c r="F898" i="10"/>
  <c r="F899" i="10"/>
  <c r="F900" i="10"/>
  <c r="F901" i="10"/>
  <c r="F902" i="10"/>
  <c r="F904" i="10"/>
  <c r="F905" i="10"/>
  <c r="F906" i="10"/>
  <c r="F907" i="10"/>
  <c r="F908" i="10"/>
  <c r="F909" i="10"/>
  <c r="F910" i="10"/>
  <c r="F912" i="10"/>
  <c r="F913" i="10"/>
  <c r="F914" i="10"/>
  <c r="F915" i="10"/>
  <c r="F916" i="10"/>
  <c r="F917" i="10"/>
  <c r="F918" i="10"/>
  <c r="F919" i="10"/>
  <c r="F921" i="10"/>
  <c r="F922" i="10"/>
  <c r="F923" i="10"/>
  <c r="F924" i="10"/>
  <c r="F925" i="10"/>
  <c r="F926" i="10"/>
  <c r="F927" i="10"/>
  <c r="F928" i="10"/>
  <c r="F929" i="10"/>
  <c r="F930" i="10"/>
  <c r="F932" i="10"/>
  <c r="F933" i="10"/>
  <c r="F934" i="10"/>
  <c r="F935" i="10"/>
  <c r="F936" i="10"/>
  <c r="F937" i="10"/>
  <c r="F938" i="10"/>
  <c r="F942" i="10"/>
  <c r="F943" i="10"/>
  <c r="F944" i="10"/>
  <c r="F946" i="10"/>
  <c r="F947" i="10"/>
  <c r="F948" i="10"/>
  <c r="F949" i="10"/>
  <c r="F950" i="10"/>
  <c r="F951" i="10"/>
  <c r="F952" i="10"/>
  <c r="F953" i="10"/>
  <c r="F956" i="10"/>
  <c r="F957" i="10"/>
  <c r="F958" i="10"/>
  <c r="F959" i="10"/>
  <c r="F960" i="10"/>
  <c r="F961" i="10"/>
  <c r="F963" i="10"/>
  <c r="F964" i="10"/>
  <c r="F965" i="10"/>
  <c r="F966" i="10"/>
  <c r="F967" i="10"/>
  <c r="F968" i="10"/>
  <c r="F969" i="10"/>
  <c r="F971" i="10"/>
  <c r="F972" i="10"/>
  <c r="F973" i="10"/>
  <c r="F974" i="10"/>
  <c r="F975" i="10"/>
  <c r="F976" i="10"/>
  <c r="F977" i="10"/>
  <c r="F978" i="10"/>
  <c r="F981" i="10"/>
  <c r="F982" i="10"/>
  <c r="F983" i="10"/>
  <c r="F984" i="10"/>
  <c r="F985" i="10"/>
  <c r="F986" i="10"/>
  <c r="F988" i="10"/>
  <c r="F989" i="10"/>
  <c r="F990" i="10"/>
  <c r="F991" i="10"/>
  <c r="F992" i="10"/>
  <c r="F993" i="10"/>
  <c r="F994" i="10"/>
  <c r="F995" i="10"/>
  <c r="F996" i="10"/>
  <c r="F1000" i="10"/>
  <c r="F1001" i="10"/>
  <c r="F1002" i="10"/>
  <c r="F1003" i="10"/>
  <c r="F1004" i="10"/>
  <c r="F1005" i="10"/>
  <c r="F1006" i="10"/>
  <c r="F1007" i="10"/>
  <c r="F1009" i="10"/>
  <c r="F1010" i="10"/>
  <c r="F1011" i="10"/>
  <c r="F1012" i="10"/>
  <c r="F1013" i="10"/>
  <c r="F1014" i="10"/>
  <c r="F1015" i="10"/>
  <c r="F1016" i="10"/>
  <c r="F1017" i="10"/>
  <c r="F1021" i="10"/>
  <c r="F1022" i="10"/>
  <c r="F1023" i="10"/>
  <c r="F1024" i="10"/>
  <c r="F1025" i="10"/>
  <c r="F1026" i="10"/>
  <c r="F1027" i="10"/>
  <c r="F1028" i="10"/>
  <c r="F1030" i="10"/>
  <c r="F1031" i="10"/>
  <c r="F1032" i="10"/>
  <c r="F1033" i="10"/>
  <c r="F1034" i="10"/>
  <c r="F1035" i="10"/>
  <c r="F1036" i="10"/>
  <c r="F1037" i="10"/>
  <c r="F1038" i="10"/>
  <c r="F1039" i="10"/>
  <c r="F1042" i="10"/>
  <c r="F1043" i="10"/>
  <c r="F1044" i="10"/>
  <c r="F1045" i="10"/>
  <c r="F1046" i="10"/>
  <c r="F1047" i="10"/>
  <c r="F1048" i="10"/>
  <c r="F1050" i="10"/>
  <c r="F1051" i="10"/>
  <c r="F1052" i="10"/>
  <c r="F1053" i="10"/>
  <c r="F1054" i="10"/>
  <c r="F1055" i="10"/>
  <c r="F1056" i="10"/>
  <c r="F1057" i="10"/>
  <c r="F1058" i="10"/>
  <c r="F1059" i="10"/>
  <c r="F1063" i="10"/>
  <c r="F1064" i="10"/>
  <c r="F1066" i="10"/>
  <c r="F1067" i="10"/>
  <c r="F1068" i="10"/>
  <c r="F1071" i="10"/>
  <c r="F1072" i="10"/>
  <c r="F1073" i="10"/>
  <c r="F1074" i="10"/>
  <c r="F1075" i="10"/>
  <c r="F1076" i="10"/>
  <c r="F1077" i="10"/>
  <c r="F1079" i="10"/>
  <c r="F1080" i="10"/>
  <c r="F1081" i="10"/>
  <c r="F1082" i="10"/>
  <c r="F1083" i="10"/>
  <c r="F1084" i="10"/>
  <c r="F1085" i="10"/>
  <c r="F1086" i="10"/>
  <c r="F1088" i="10"/>
  <c r="F1089" i="10"/>
  <c r="F1090" i="10"/>
  <c r="F1091" i="10"/>
  <c r="F1092" i="10"/>
  <c r="F1093" i="10"/>
  <c r="F1094" i="10"/>
  <c r="F1095" i="10"/>
  <c r="F1096" i="10"/>
  <c r="F1098" i="10"/>
  <c r="F1099" i="10"/>
  <c r="F1100" i="10"/>
  <c r="F1101" i="10"/>
  <c r="F1102" i="10"/>
  <c r="F1103" i="10"/>
  <c r="F1104" i="10"/>
  <c r="F1105" i="10"/>
  <c r="F1107" i="10"/>
  <c r="F1108" i="10"/>
  <c r="F1109" i="10"/>
  <c r="F1110" i="10"/>
  <c r="F1111" i="10"/>
  <c r="F1112" i="10"/>
  <c r="F1113" i="10"/>
  <c r="F1114" i="10"/>
  <c r="F1115" i="10"/>
  <c r="F1116" i="10"/>
  <c r="F1117" i="10"/>
  <c r="F1119" i="10"/>
  <c r="F1123" i="10"/>
  <c r="F1124" i="10"/>
  <c r="F1125" i="10"/>
  <c r="F1126" i="10"/>
  <c r="F1127" i="10"/>
  <c r="F1129" i="10"/>
  <c r="F1130" i="10"/>
  <c r="F1131" i="10"/>
  <c r="F1133" i="10"/>
  <c r="F1134" i="10"/>
  <c r="F1135" i="10"/>
  <c r="F1136" i="10"/>
  <c r="F1137" i="10"/>
  <c r="F1139" i="10"/>
  <c r="F1140" i="10"/>
  <c r="F1141" i="10"/>
  <c r="F1142" i="10"/>
  <c r="F1143" i="10"/>
  <c r="F1144" i="10"/>
  <c r="F1146" i="10"/>
  <c r="F1147" i="10"/>
  <c r="F1148" i="10"/>
  <c r="F1149" i="10"/>
  <c r="F1150" i="10"/>
  <c r="F1151" i="10"/>
  <c r="F1153" i="10"/>
  <c r="F1154" i="10"/>
  <c r="F1155" i="10"/>
  <c r="F1156" i="10"/>
  <c r="F1157" i="10"/>
  <c r="F1158" i="10"/>
  <c r="F1160" i="10"/>
  <c r="F1203" i="10"/>
  <c r="F1204" i="10"/>
  <c r="F1205" i="10"/>
  <c r="F1206" i="10"/>
  <c r="F1207" i="10"/>
  <c r="F1208" i="10"/>
  <c r="F1209" i="10"/>
  <c r="F1210" i="10"/>
  <c r="F1211" i="10"/>
  <c r="F1212" i="10"/>
  <c r="F1213" i="10"/>
  <c r="F1214" i="10"/>
  <c r="F1215" i="10"/>
  <c r="F1216" i="10"/>
  <c r="F1217" i="10"/>
  <c r="F1219" i="10"/>
  <c r="F1220" i="10"/>
  <c r="F1221" i="10"/>
  <c r="F1222" i="10"/>
  <c r="F1223" i="10"/>
  <c r="F1224" i="10"/>
  <c r="F1225" i="10"/>
  <c r="F1226" i="10"/>
  <c r="F1227" i="10"/>
  <c r="F1228" i="10"/>
  <c r="F1229" i="10"/>
  <c r="F1230" i="10"/>
  <c r="F1231" i="10"/>
  <c r="F1232" i="10"/>
  <c r="F1234" i="10"/>
  <c r="F1235" i="10"/>
  <c r="F1236" i="10"/>
  <c r="F1237" i="10"/>
  <c r="F1238" i="10"/>
  <c r="F1239" i="10"/>
  <c r="F1240" i="10"/>
  <c r="F1241" i="10"/>
  <c r="F1242" i="10"/>
  <c r="F1243" i="10"/>
  <c r="F1244" i="10"/>
  <c r="F1245" i="10"/>
  <c r="F1246" i="10"/>
  <c r="F1247" i="10"/>
  <c r="F1248" i="10"/>
  <c r="F1249" i="10"/>
  <c r="F1250" i="10"/>
  <c r="F1251" i="10"/>
  <c r="F1252" i="10"/>
  <c r="F1255" i="10"/>
  <c r="F1256" i="10"/>
  <c r="F1257" i="10"/>
  <c r="F1258" i="10"/>
  <c r="F1259" i="10"/>
  <c r="F1260" i="10"/>
  <c r="F1262" i="10"/>
  <c r="F1263" i="10"/>
  <c r="F1264" i="10"/>
  <c r="F1265" i="10"/>
  <c r="F1266" i="10"/>
  <c r="F1267" i="10"/>
  <c r="F1268" i="10"/>
  <c r="F1270" i="10"/>
  <c r="F1271" i="10"/>
  <c r="F1272" i="10"/>
  <c r="F1273" i="10"/>
  <c r="F1274" i="10"/>
  <c r="F1275" i="10"/>
  <c r="F1276" i="10"/>
  <c r="F1278" i="10"/>
  <c r="F1279" i="10"/>
  <c r="F1280" i="10"/>
  <c r="F1281" i="10"/>
  <c r="F1282" i="10"/>
  <c r="F1283" i="10"/>
  <c r="F1284" i="10"/>
  <c r="F1285" i="10"/>
  <c r="F1286" i="10"/>
  <c r="F1288" i="10"/>
  <c r="F1289" i="10"/>
  <c r="F1290" i="10"/>
  <c r="F1291" i="10"/>
  <c r="F1292" i="10"/>
  <c r="F1293" i="10"/>
  <c r="F1294" i="10"/>
  <c r="F1295" i="10"/>
  <c r="F1296" i="10"/>
  <c r="F1297" i="10"/>
  <c r="F1298" i="10"/>
  <c r="F1300" i="10"/>
  <c r="F1301" i="10"/>
  <c r="F1314" i="10"/>
  <c r="F1312" i="10"/>
  <c r="F1317" i="10"/>
  <c r="F1318" i="10"/>
  <c r="F1163" i="10"/>
  <c r="F1164" i="10"/>
  <c r="F1165" i="10"/>
  <c r="F1166" i="10"/>
  <c r="F1167" i="10"/>
  <c r="F1168" i="10"/>
  <c r="F1169" i="10"/>
  <c r="F1170" i="10"/>
  <c r="F1171" i="10"/>
  <c r="F1173" i="10"/>
  <c r="F1174" i="10"/>
  <c r="F1175" i="10"/>
  <c r="F1176" i="10"/>
  <c r="F1177" i="10"/>
  <c r="F1178" i="10"/>
  <c r="F1179" i="10"/>
  <c r="F1180" i="10"/>
  <c r="F1182" i="10"/>
  <c r="F1183" i="10"/>
  <c r="F1184" i="10"/>
  <c r="F1185" i="10"/>
  <c r="F1186" i="10"/>
  <c r="F1187" i="10"/>
  <c r="F1188" i="10"/>
  <c r="F1189" i="10"/>
  <c r="F1193" i="10"/>
  <c r="F1194" i="10"/>
  <c r="F1195" i="10"/>
  <c r="F1197" i="10"/>
  <c r="F1198" i="10"/>
  <c r="F1199" i="10"/>
  <c r="F1323" i="10"/>
  <c r="F1324" i="10"/>
  <c r="F1325" i="10"/>
  <c r="F1327" i="10"/>
  <c r="F1328" i="10"/>
  <c r="F1329" i="10"/>
  <c r="F1330" i="10"/>
  <c r="F1331" i="10"/>
  <c r="F1335" i="10"/>
  <c r="F1336" i="10"/>
  <c r="F1337" i="10"/>
  <c r="F1338" i="10"/>
  <c r="F1339" i="10"/>
  <c r="F1340" i="10"/>
  <c r="F1341" i="10"/>
  <c r="F1342" i="10"/>
  <c r="F1343" i="10"/>
  <c r="F1344" i="10"/>
  <c r="F1345" i="10"/>
  <c r="F1347" i="10"/>
  <c r="F1348" i="10"/>
  <c r="F1349" i="10"/>
  <c r="F1350" i="10"/>
  <c r="F1351" i="10"/>
  <c r="F1352" i="10"/>
  <c r="F1353" i="10"/>
  <c r="F1354" i="10"/>
  <c r="F1355" i="10"/>
  <c r="F1356" i="10"/>
  <c r="F1357" i="10"/>
  <c r="F1358" i="10"/>
  <c r="F1361" i="10"/>
  <c r="F1362" i="10"/>
  <c r="F1363" i="10"/>
  <c r="F1364" i="10"/>
  <c r="F1365" i="10"/>
  <c r="F1366" i="10"/>
  <c r="F1367" i="10"/>
  <c r="F1368" i="10"/>
  <c r="F1370" i="10"/>
  <c r="F1371" i="10"/>
  <c r="F1372" i="10"/>
  <c r="F1373" i="10"/>
  <c r="F1374" i="10"/>
  <c r="F1375" i="10"/>
  <c r="F1376" i="10"/>
  <c r="F1377" i="10"/>
  <c r="F1378" i="10"/>
  <c r="F1379" i="10"/>
  <c r="F1380" i="10"/>
  <c r="F1381" i="10"/>
  <c r="F1382" i="10"/>
  <c r="F1383" i="10"/>
  <c r="F1385" i="10"/>
  <c r="F1386" i="10"/>
  <c r="F1387" i="10"/>
  <c r="F1388" i="10"/>
  <c r="F1389" i="10"/>
  <c r="F1391" i="10"/>
  <c r="F1392" i="10"/>
  <c r="F1393" i="10"/>
  <c r="F1394" i="10"/>
  <c r="F1395" i="10"/>
  <c r="F1396" i="10"/>
  <c r="F1397" i="10"/>
  <c r="F1399" i="10"/>
  <c r="F1400" i="10"/>
  <c r="F1401" i="10"/>
  <c r="F1402" i="10"/>
  <c r="F1403" i="10"/>
  <c r="F1404" i="10"/>
  <c r="F1405" i="10"/>
  <c r="F1406" i="10"/>
  <c r="F1407" i="10"/>
  <c r="F1410" i="10"/>
  <c r="F1411" i="10"/>
  <c r="F1412" i="10"/>
  <c r="F1413" i="10"/>
  <c r="F1414" i="10"/>
  <c r="F1415" i="10"/>
  <c r="F1417" i="10"/>
  <c r="F1418" i="10"/>
  <c r="F1419" i="10"/>
  <c r="F1420" i="10"/>
  <c r="F1421" i="10"/>
  <c r="F1422" i="10"/>
  <c r="F1423" i="10"/>
  <c r="F1425" i="10"/>
  <c r="F1426" i="10"/>
  <c r="F1427" i="10"/>
  <c r="F1428" i="10"/>
  <c r="F1429" i="10"/>
  <c r="F1430" i="10"/>
  <c r="F1431" i="10"/>
  <c r="F1432" i="10"/>
  <c r="F1433" i="10"/>
  <c r="F1434" i="10"/>
  <c r="F1437" i="10"/>
  <c r="F1438" i="10"/>
  <c r="F1439" i="10"/>
  <c r="F1440" i="10"/>
  <c r="F1441" i="10"/>
  <c r="F1442" i="10"/>
  <c r="F1443" i="10"/>
  <c r="F1444" i="10"/>
  <c r="F1445" i="10"/>
  <c r="F1446" i="10"/>
  <c r="F1448" i="10"/>
  <c r="F1449" i="10"/>
  <c r="F1450" i="10"/>
  <c r="F1451" i="10"/>
  <c r="F1452" i="10"/>
  <c r="F1453" i="10"/>
  <c r="F1454" i="10"/>
  <c r="F1455" i="10"/>
  <c r="F1456" i="10"/>
  <c r="F1457" i="10"/>
  <c r="F1458" i="10"/>
  <c r="F1459" i="10"/>
  <c r="F1460" i="10"/>
  <c r="F1461" i="10"/>
  <c r="F1462" i="10"/>
  <c r="F1463" i="10"/>
  <c r="F1466" i="10"/>
  <c r="F1467" i="10"/>
  <c r="F1468" i="10"/>
  <c r="F1469" i="10"/>
  <c r="F1470" i="10"/>
  <c r="F1471" i="10"/>
  <c r="F1472" i="10"/>
  <c r="F1474" i="10"/>
  <c r="F1475" i="10"/>
  <c r="F1476" i="10"/>
  <c r="F1477" i="10"/>
  <c r="F1478" i="10"/>
  <c r="F1479" i="10"/>
  <c r="F1480" i="10"/>
  <c r="F1481" i="10"/>
  <c r="F1482" i="10"/>
  <c r="F1483" i="10"/>
  <c r="F1484" i="10"/>
  <c r="F1485" i="10"/>
  <c r="F1489" i="10"/>
  <c r="F1490" i="10"/>
  <c r="F1491" i="10"/>
  <c r="F1492" i="10"/>
  <c r="F1493" i="10"/>
  <c r="F1494" i="10"/>
  <c r="F1495" i="10"/>
  <c r="F1496" i="10"/>
  <c r="F1498" i="10"/>
  <c r="F1499" i="10"/>
  <c r="F1500" i="10"/>
  <c r="F1501" i="10"/>
  <c r="F1502" i="10"/>
  <c r="F1503" i="10"/>
  <c r="F1504" i="10"/>
  <c r="F1506" i="10"/>
  <c r="F1507" i="10"/>
  <c r="F1508" i="10"/>
  <c r="F1509" i="10"/>
  <c r="F1510" i="10"/>
  <c r="F1511" i="10"/>
  <c r="F1512" i="10"/>
  <c r="F1513" i="10"/>
  <c r="F1514" i="10"/>
  <c r="F1515" i="10"/>
  <c r="F1516" i="10"/>
  <c r="F1517" i="10"/>
  <c r="F1520" i="10"/>
  <c r="F1521" i="10"/>
  <c r="F1522" i="10"/>
  <c r="F1523" i="10"/>
  <c r="F1524" i="10"/>
  <c r="F1525" i="10"/>
  <c r="F1526" i="10"/>
  <c r="F1527" i="10"/>
  <c r="F1528" i="10"/>
  <c r="F1529" i="10"/>
  <c r="F1530" i="10"/>
  <c r="F1531" i="10"/>
  <c r="F1533" i="10"/>
  <c r="F1534" i="10"/>
  <c r="F1535" i="10"/>
  <c r="F1536" i="10"/>
  <c r="F1537" i="10"/>
  <c r="F1538" i="10"/>
  <c r="F1539" i="10"/>
  <c r="F1540" i="10"/>
  <c r="F1541" i="10"/>
  <c r="F1542" i="10"/>
  <c r="F1543" i="10"/>
  <c r="F1544" i="10"/>
  <c r="F1545" i="10"/>
  <c r="F1546" i="10"/>
  <c r="F1547" i="10"/>
  <c r="F1550" i="10"/>
  <c r="F1551" i="10"/>
  <c r="F1554" i="10"/>
  <c r="F1555" i="10"/>
  <c r="F1556" i="10"/>
  <c r="F1557" i="10"/>
  <c r="F1558" i="10"/>
  <c r="F1559" i="10"/>
  <c r="F1560" i="10"/>
  <c r="F1561" i="10"/>
  <c r="F1562" i="10"/>
  <c r="F1564" i="10"/>
  <c r="F1565" i="10"/>
  <c r="F1566" i="10"/>
  <c r="F1567" i="10"/>
  <c r="F1568" i="10"/>
  <c r="F1569" i="10"/>
  <c r="F1570" i="10"/>
  <c r="F1596" i="10"/>
  <c r="F1597" i="10"/>
  <c r="F1598" i="10"/>
  <c r="F1599" i="10"/>
  <c r="F1600" i="10"/>
  <c r="F1601" i="10"/>
  <c r="F1603" i="10"/>
  <c r="F1604" i="10"/>
  <c r="F1605" i="10"/>
  <c r="F1606" i="10"/>
  <c r="F1607" i="10"/>
  <c r="F1609" i="10"/>
  <c r="F1610" i="10"/>
  <c r="F1611" i="10"/>
  <c r="F1612" i="10"/>
  <c r="F1613" i="10"/>
  <c r="F1614" i="10"/>
  <c r="F1615" i="10"/>
  <c r="F1616" i="10"/>
  <c r="F1618" i="10"/>
  <c r="F1619" i="10"/>
  <c r="F1620" i="10"/>
  <c r="F1624" i="10"/>
  <c r="F1625" i="10"/>
  <c r="F1627" i="10"/>
  <c r="F1628" i="10"/>
  <c r="F1629" i="10"/>
  <c r="F1632" i="10"/>
  <c r="F1633" i="10"/>
  <c r="F1634" i="10"/>
  <c r="F1635" i="10"/>
  <c r="F1636" i="10"/>
  <c r="F1637" i="10"/>
  <c r="F1638" i="10"/>
  <c r="F1639" i="10"/>
  <c r="F1640" i="10"/>
  <c r="F1641" i="10"/>
  <c r="F1642" i="10"/>
  <c r="F1644" i="10"/>
  <c r="F1645" i="10"/>
  <c r="F1646" i="10"/>
  <c r="F1647" i="10"/>
  <c r="F1648" i="10"/>
  <c r="F1649" i="10"/>
  <c r="F1650" i="10"/>
  <c r="F1651" i="10"/>
  <c r="F1652" i="10"/>
  <c r="F1653" i="10"/>
  <c r="F1654" i="10"/>
  <c r="F1656" i="10"/>
  <c r="F1659" i="10"/>
  <c r="F1660" i="10"/>
  <c r="F1661" i="10"/>
  <c r="F1662" i="10"/>
  <c r="F1663" i="10"/>
  <c r="F1664" i="10"/>
  <c r="F1665" i="10"/>
  <c r="F1666" i="10"/>
  <c r="F1667" i="10"/>
  <c r="F1668" i="10"/>
  <c r="F1670" i="10"/>
  <c r="F1671" i="10"/>
  <c r="F1672" i="10"/>
  <c r="F1673" i="10"/>
  <c r="F1674" i="10"/>
  <c r="F1675" i="10"/>
  <c r="F1676" i="10"/>
  <c r="F1679" i="10"/>
  <c r="F1680" i="10"/>
  <c r="F1681" i="10"/>
  <c r="F1682" i="10"/>
  <c r="F1683" i="10"/>
  <c r="F1684" i="10"/>
  <c r="F1685" i="10"/>
  <c r="F1686" i="10"/>
  <c r="F1687" i="10"/>
  <c r="F1688" i="10"/>
  <c r="F1689" i="10"/>
  <c r="F1691" i="10"/>
  <c r="F1692" i="10"/>
  <c r="F1693" i="10"/>
  <c r="F1694" i="10"/>
  <c r="F1695" i="10"/>
  <c r="F1696" i="10"/>
  <c r="F1697" i="10"/>
  <c r="F1698" i="10"/>
  <c r="F1699" i="10"/>
  <c r="F1700" i="10"/>
  <c r="F1701" i="10"/>
  <c r="F1702" i="10"/>
  <c r="F1703" i="10"/>
  <c r="F1704" i="10"/>
  <c r="F1706" i="10"/>
  <c r="F1707" i="10"/>
  <c r="F1708" i="10"/>
  <c r="F1712" i="10"/>
  <c r="F1713" i="10"/>
  <c r="F1714" i="10"/>
  <c r="F1715" i="10"/>
  <c r="F1716" i="10"/>
  <c r="F1718" i="10"/>
  <c r="F1719" i="10"/>
  <c r="F1720" i="10"/>
  <c r="F1721" i="10"/>
  <c r="F1722" i="10"/>
  <c r="F1723" i="10"/>
  <c r="F1726" i="10"/>
  <c r="F1727" i="10"/>
  <c r="F1728" i="10"/>
  <c r="F1729" i="10"/>
  <c r="F1730" i="10"/>
  <c r="F1731" i="10"/>
  <c r="F1733" i="10"/>
  <c r="F1734" i="10"/>
  <c r="F1735" i="10"/>
  <c r="F1736" i="10"/>
  <c r="F1737" i="10"/>
  <c r="F1738" i="10"/>
  <c r="F1739" i="10"/>
  <c r="F1740" i="10"/>
  <c r="F1744" i="10"/>
  <c r="F1748" i="10"/>
  <c r="F1750" i="10"/>
  <c r="F1752" i="10"/>
  <c r="F1753" i="10"/>
  <c r="F1745" i="10"/>
  <c r="F1746" i="10"/>
  <c r="F1749" i="10"/>
  <c r="F1751" i="10"/>
  <c r="F1754" i="10"/>
  <c r="F1757" i="10"/>
  <c r="F1758" i="10"/>
  <c r="F1759" i="10"/>
  <c r="F1762" i="10"/>
  <c r="F1763" i="10"/>
  <c r="F1764" i="10"/>
  <c r="F1765" i="10"/>
  <c r="F1766" i="10"/>
  <c r="F1767" i="10"/>
  <c r="F1769" i="10"/>
  <c r="F1770" i="10"/>
  <c r="F1771" i="10"/>
  <c r="F1772" i="10"/>
  <c r="F1773" i="10"/>
  <c r="F1780" i="10"/>
  <c r="F1781" i="10"/>
  <c r="F1786" i="10"/>
  <c r="F1787" i="10"/>
  <c r="F1788" i="10"/>
  <c r="F1789" i="10"/>
  <c r="F1790" i="10"/>
  <c r="F1791" i="10"/>
  <c r="F1793" i="10"/>
  <c r="F1794" i="10"/>
  <c r="F1795" i="10"/>
  <c r="F1796" i="10"/>
  <c r="F1797" i="10"/>
  <c r="F1798" i="10"/>
  <c r="F1800" i="10"/>
  <c r="F1801" i="10"/>
  <c r="F1802" i="10"/>
  <c r="F1803" i="10"/>
  <c r="F1804" i="10"/>
  <c r="F1805" i="10"/>
  <c r="F1809" i="10"/>
  <c r="F1810" i="10"/>
  <c r="F1811" i="10"/>
  <c r="F1813" i="10"/>
  <c r="F1814" i="10"/>
  <c r="F1815" i="10"/>
  <c r="F1816" i="10"/>
  <c r="F1819" i="10"/>
  <c r="F1820" i="10"/>
  <c r="F1821" i="10"/>
  <c r="F1833" i="10"/>
  <c r="F1823" i="10"/>
  <c r="F1827" i="10"/>
  <c r="F1828" i="10"/>
  <c r="F1829" i="10"/>
  <c r="F1830" i="10"/>
  <c r="F1824" i="10"/>
  <c r="F1831" i="10"/>
  <c r="F1825" i="10"/>
  <c r="F1836" i="10"/>
  <c r="F1837" i="10"/>
  <c r="F1838" i="10"/>
  <c r="F1839" i="10"/>
  <c r="F1840" i="10"/>
  <c r="F1841" i="10"/>
  <c r="F1843" i="10"/>
  <c r="F1844" i="10"/>
  <c r="F1845" i="10"/>
  <c r="F1846" i="10"/>
  <c r="F1847" i="10"/>
  <c r="F1848" i="10"/>
  <c r="F1863" i="10"/>
  <c r="F1866" i="10"/>
  <c r="F1861" i="10"/>
  <c r="F1862" i="10"/>
  <c r="F1853" i="10"/>
  <c r="F1854" i="10"/>
  <c r="F1855" i="10"/>
  <c r="F1864" i="10"/>
  <c r="F1856" i="10"/>
  <c r="F1857" i="10"/>
  <c r="F1858" i="10"/>
  <c r="F1859" i="10"/>
  <c r="F1869" i="10"/>
  <c r="F1870" i="10"/>
  <c r="F1871" i="10"/>
  <c r="F1872" i="10"/>
  <c r="F1873" i="10"/>
  <c r="F1874" i="10"/>
  <c r="F1876" i="10"/>
  <c r="F1877" i="10"/>
  <c r="F1878" i="10"/>
  <c r="F1879" i="10"/>
  <c r="F1880" i="10"/>
  <c r="F1881" i="10"/>
  <c r="F1882" i="10"/>
  <c r="F1883" i="10"/>
  <c r="F1887" i="10"/>
  <c r="F1888" i="10"/>
  <c r="F1889" i="10"/>
  <c r="F1890" i="10"/>
  <c r="F1892" i="10"/>
  <c r="F1893" i="10"/>
  <c r="F1894" i="10"/>
  <c r="F1897" i="10"/>
  <c r="F1898" i="10"/>
  <c r="F1899" i="10"/>
  <c r="F1900" i="10"/>
  <c r="F1901" i="10"/>
  <c r="F1902" i="10"/>
  <c r="F1903" i="10"/>
  <c r="F1904" i="10"/>
  <c r="F1905" i="10"/>
  <c r="F1907" i="10"/>
  <c r="F1908" i="10"/>
  <c r="F1909" i="10"/>
  <c r="F1910" i="10"/>
  <c r="F1911" i="10"/>
  <c r="F1912" i="10"/>
  <c r="F1913" i="10"/>
  <c r="F1914" i="10"/>
  <c r="F1915" i="10"/>
  <c r="F1916" i="10"/>
  <c r="F1917" i="10"/>
  <c r="F1918" i="10"/>
  <c r="F1921" i="10"/>
  <c r="F1922" i="10"/>
  <c r="F1923" i="10"/>
  <c r="F1924" i="10"/>
  <c r="F1925" i="10"/>
  <c r="F1926" i="10"/>
  <c r="F1927" i="10"/>
  <c r="F1928" i="10"/>
  <c r="F1929" i="10"/>
  <c r="F1930" i="10"/>
  <c r="F1931" i="10"/>
  <c r="F1932" i="10"/>
  <c r="F1933" i="10"/>
  <c r="F1934" i="10"/>
  <c r="F1936" i="10"/>
  <c r="F1937" i="10"/>
  <c r="F1938" i="10"/>
  <c r="F1939" i="10"/>
  <c r="F1940" i="10"/>
  <c r="F1945" i="10"/>
  <c r="F1946" i="10"/>
  <c r="F1947" i="10"/>
  <c r="F1948" i="10"/>
  <c r="F1950" i="10"/>
  <c r="F1951" i="10"/>
  <c r="F1952" i="10"/>
  <c r="F1953" i="10"/>
  <c r="F1954" i="10"/>
  <c r="F1955" i="10"/>
  <c r="F1956" i="10"/>
  <c r="F1957" i="10"/>
  <c r="F1958" i="10"/>
  <c r="F1962" i="10"/>
  <c r="F1963" i="10"/>
  <c r="F1961" i="10"/>
  <c r="F1964" i="10"/>
  <c r="F1965" i="10"/>
  <c r="F1966" i="10"/>
  <c r="F1967" i="10"/>
  <c r="F1968" i="10"/>
  <c r="F1969" i="10"/>
  <c r="F1970" i="10"/>
  <c r="F1971" i="10"/>
  <c r="F1972" i="10"/>
  <c r="F1973" i="10"/>
  <c r="F1974" i="10"/>
  <c r="F1975" i="10"/>
  <c r="F1976" i="10"/>
  <c r="F1977" i="10"/>
  <c r="F1978" i="10"/>
  <c r="F1980" i="10"/>
  <c r="F1981" i="10"/>
  <c r="F1982" i="10"/>
  <c r="F1983" i="10"/>
  <c r="F1984" i="10"/>
  <c r="F1985" i="10"/>
  <c r="F1986" i="10"/>
  <c r="F1987" i="10"/>
  <c r="F1988" i="10"/>
  <c r="F1989" i="10"/>
  <c r="F1990" i="10"/>
  <c r="F1991" i="10"/>
  <c r="F1992" i="10"/>
  <c r="F1993" i="10"/>
  <c r="F1994" i="10"/>
  <c r="F1995" i="10"/>
  <c r="F1996" i="10"/>
  <c r="F1997" i="10"/>
  <c r="F1998" i="10"/>
  <c r="F1999" i="10"/>
  <c r="F2000" i="10"/>
  <c r="F2001" i="10"/>
  <c r="F2004" i="10"/>
  <c r="F2005" i="10"/>
  <c r="F2006" i="10"/>
  <c r="F2007" i="10"/>
  <c r="F2008" i="10"/>
  <c r="F2009" i="10"/>
  <c r="F2010" i="10"/>
  <c r="F2011" i="10"/>
  <c r="F2012" i="10"/>
  <c r="F2013" i="10"/>
  <c r="F2014" i="10"/>
  <c r="F2015" i="10"/>
  <c r="F2017" i="10"/>
  <c r="F2019" i="10"/>
  <c r="F2021" i="10"/>
  <c r="F2022" i="10"/>
  <c r="F2023" i="10"/>
  <c r="F2024" i="10"/>
  <c r="F2025" i="10"/>
  <c r="F2026" i="10"/>
  <c r="F2027" i="10"/>
  <c r="F2028" i="10"/>
  <c r="F2029" i="10"/>
  <c r="F2030" i="10"/>
  <c r="F2031" i="10"/>
  <c r="F2032" i="10"/>
  <c r="F2033" i="10"/>
  <c r="F2034" i="10"/>
  <c r="F2035" i="10"/>
  <c r="F2036" i="10"/>
  <c r="F2037" i="10"/>
  <c r="F2038" i="10"/>
  <c r="F2039" i="10"/>
  <c r="F2040" i="10"/>
  <c r="F2041" i="10"/>
  <c r="F2042" i="10"/>
  <c r="F2045" i="10"/>
  <c r="F2046" i="10"/>
  <c r="F2047" i="10"/>
  <c r="F2048" i="10"/>
  <c r="D15" i="10"/>
  <c r="D22" i="10"/>
  <c r="D29" i="10"/>
  <c r="D33" i="10"/>
  <c r="D39" i="10"/>
  <c r="D45" i="10"/>
  <c r="D48" i="10"/>
  <c r="D62" i="10"/>
  <c r="D93" i="10"/>
  <c r="D97" i="10"/>
  <c r="D104" i="10"/>
  <c r="D110" i="10"/>
  <c r="D123" i="10"/>
  <c r="D131" i="10"/>
  <c r="D138" i="10"/>
  <c r="D144" i="10"/>
  <c r="D150" i="10"/>
  <c r="D156" i="10"/>
  <c r="D164" i="10"/>
  <c r="D177" i="10"/>
  <c r="D190" i="10"/>
  <c r="D202" i="10"/>
  <c r="D227" i="10"/>
  <c r="D237" i="10"/>
  <c r="D250" i="10"/>
  <c r="D261" i="10"/>
  <c r="D270" i="10"/>
  <c r="D277" i="10"/>
  <c r="D283" i="10"/>
  <c r="D293" i="10"/>
  <c r="D307" i="10"/>
  <c r="F307" i="10" s="1"/>
  <c r="D310" i="10"/>
  <c r="D316" i="10"/>
  <c r="D327" i="10"/>
  <c r="D340" i="10"/>
  <c r="D349" i="10"/>
  <c r="D372" i="10"/>
  <c r="D394" i="10"/>
  <c r="D403" i="10"/>
  <c r="D413" i="10"/>
  <c r="D424" i="10"/>
  <c r="D483" i="10"/>
  <c r="D493" i="10"/>
  <c r="D502" i="10"/>
  <c r="F502" i="10" s="1"/>
  <c r="D510" i="10"/>
  <c r="D520" i="10"/>
  <c r="D524" i="10"/>
  <c r="D531" i="10"/>
  <c r="D537" i="10"/>
  <c r="D547" i="10"/>
  <c r="D558" i="10"/>
  <c r="D628" i="10"/>
  <c r="D666" i="10"/>
  <c r="D659" i="10" s="1"/>
  <c r="D698" i="10"/>
  <c r="D712" i="10"/>
  <c r="D719" i="10"/>
  <c r="D732" i="10"/>
  <c r="D744" i="10"/>
  <c r="D749" i="10"/>
  <c r="D768" i="10"/>
  <c r="D772" i="10"/>
  <c r="D778" i="10"/>
  <c r="D786" i="10"/>
  <c r="D792" i="10"/>
  <c r="D801" i="10"/>
  <c r="D810" i="10"/>
  <c r="D826" i="10"/>
  <c r="D834" i="10"/>
  <c r="D839" i="10"/>
  <c r="D848" i="10"/>
  <c r="D860" i="10"/>
  <c r="D867" i="10"/>
  <c r="D873" i="10"/>
  <c r="D882" i="10"/>
  <c r="D888" i="10"/>
  <c r="D897" i="10"/>
  <c r="D903" i="10"/>
  <c r="D911" i="10"/>
  <c r="D920" i="10"/>
  <c r="D931" i="10"/>
  <c r="D941" i="10"/>
  <c r="D945" i="10"/>
  <c r="D955" i="10"/>
  <c r="D962" i="10"/>
  <c r="D980" i="10"/>
  <c r="D987" i="10"/>
  <c r="D999" i="10"/>
  <c r="D1008" i="10"/>
  <c r="D1020" i="10"/>
  <c r="D1029" i="10"/>
  <c r="D1041" i="10"/>
  <c r="D1049" i="10"/>
  <c r="D1062" i="10"/>
  <c r="D1065" i="10"/>
  <c r="D1070" i="10"/>
  <c r="D1078" i="10"/>
  <c r="D1087" i="10"/>
  <c r="D1097" i="10"/>
  <c r="D1106" i="10"/>
  <c r="D1122" i="10"/>
  <c r="D1128" i="10"/>
  <c r="D1132" i="10"/>
  <c r="D1138" i="10"/>
  <c r="D1145" i="10"/>
  <c r="D1152" i="10"/>
  <c r="D1202" i="10"/>
  <c r="D1233" i="10"/>
  <c r="D1254" i="10"/>
  <c r="D1261" i="10"/>
  <c r="D1269" i="10"/>
  <c r="D1277" i="10"/>
  <c r="D1287" i="10"/>
  <c r="D1162" i="10"/>
  <c r="D1172" i="10"/>
  <c r="D1181" i="10"/>
  <c r="D1192" i="10"/>
  <c r="D1322" i="10"/>
  <c r="D1326" i="10"/>
  <c r="D1334" i="10"/>
  <c r="D1346" i="10"/>
  <c r="D1360" i="10"/>
  <c r="D1369" i="10"/>
  <c r="D1384" i="10"/>
  <c r="D1390" i="10"/>
  <c r="D1398" i="10"/>
  <c r="D1409" i="10"/>
  <c r="D1424" i="10"/>
  <c r="D1436" i="10"/>
  <c r="F1436" i="10" s="1"/>
  <c r="D1447" i="10"/>
  <c r="D1465" i="10"/>
  <c r="D1473" i="10"/>
  <c r="D1488" i="10"/>
  <c r="D1497" i="10"/>
  <c r="D1505" i="10"/>
  <c r="D1519" i="10"/>
  <c r="D1532" i="10"/>
  <c r="D1549" i="10"/>
  <c r="D1553" i="10"/>
  <c r="D1563" i="10"/>
  <c r="D1595" i="10"/>
  <c r="D1602" i="10"/>
  <c r="D1608" i="10"/>
  <c r="D1617" i="10"/>
  <c r="D1623" i="10"/>
  <c r="D1626" i="10"/>
  <c r="D1631" i="10"/>
  <c r="D1643" i="10"/>
  <c r="D1658" i="10"/>
  <c r="D1669" i="10"/>
  <c r="D1678" i="10"/>
  <c r="D1690" i="10"/>
  <c r="D1711" i="10"/>
  <c r="D1725" i="10"/>
  <c r="D1732" i="10"/>
  <c r="D1756" i="10"/>
  <c r="D1741" i="10" s="1"/>
  <c r="D1761" i="10"/>
  <c r="D1768" i="10"/>
  <c r="D97" i="11"/>
  <c r="D1785" i="10"/>
  <c r="D1792" i="10"/>
  <c r="D1799" i="10"/>
  <c r="D1808" i="10"/>
  <c r="D1812" i="10"/>
  <c r="D1835" i="10"/>
  <c r="D1842" i="10"/>
  <c r="D1868" i="10"/>
  <c r="D1875" i="10"/>
  <c r="D1886" i="10"/>
  <c r="D1891" i="10"/>
  <c r="D1896" i="10"/>
  <c r="D1906" i="10"/>
  <c r="D1920" i="10"/>
  <c r="D1935" i="10"/>
  <c r="D1944" i="10"/>
  <c r="D1949" i="10"/>
  <c r="D1960" i="10"/>
  <c r="F1960" i="10" s="1"/>
  <c r="D1979" i="10"/>
  <c r="D1760" i="10" l="1"/>
  <c r="D1518" i="10"/>
  <c r="D83" i="11" s="1"/>
  <c r="D392" i="10"/>
  <c r="D32" i="11" s="1"/>
  <c r="D1069" i="10"/>
  <c r="D66" i="11" s="1"/>
  <c r="D1253" i="10"/>
  <c r="D14" i="10"/>
  <c r="D15" i="11" s="1"/>
  <c r="C73" i="11"/>
  <c r="D743" i="10"/>
  <c r="D1895" i="10"/>
  <c r="D107" i="11" s="1"/>
  <c r="C88" i="11"/>
  <c r="F1623" i="10"/>
  <c r="D1621" i="10"/>
  <c r="D88" i="11" s="1"/>
  <c r="D36" i="11"/>
  <c r="D627" i="10"/>
  <c r="C31" i="11"/>
  <c r="D348" i="10"/>
  <c r="D305" i="10"/>
  <c r="D29" i="11" s="1"/>
  <c r="D226" i="10"/>
  <c r="D26" i="11" s="1"/>
  <c r="D163" i="10"/>
  <c r="D24" i="11" s="1"/>
  <c r="D136" i="10"/>
  <c r="D21" i="11" s="1"/>
  <c r="D103" i="10"/>
  <c r="D102" i="10" s="1"/>
  <c r="D19" i="11" s="1"/>
  <c r="D189" i="10"/>
  <c r="D25" i="11" s="1"/>
  <c r="D121" i="10"/>
  <c r="D20" i="11" s="1"/>
  <c r="D91" i="10"/>
  <c r="D18" i="11" s="1"/>
  <c r="F1218" i="10"/>
  <c r="F762" i="10"/>
  <c r="C36" i="11"/>
  <c r="C96" i="11"/>
  <c r="D1040" i="10"/>
  <c r="D64" i="11" s="1"/>
  <c r="C29" i="11"/>
  <c r="D1060" i="10"/>
  <c r="D65" i="11" s="1"/>
  <c r="D1018" i="10"/>
  <c r="D63" i="11" s="1"/>
  <c r="D979" i="10"/>
  <c r="D60" i="11" s="1"/>
  <c r="D881" i="10"/>
  <c r="D56" i="11" s="1"/>
  <c r="D776" i="10"/>
  <c r="C94" i="11"/>
  <c r="C24" i="11"/>
  <c r="C33" i="11"/>
  <c r="D148" i="10"/>
  <c r="D791" i="10"/>
  <c r="D51" i="11" s="1"/>
  <c r="D1201" i="10"/>
  <c r="D1121" i="10"/>
  <c r="D68" i="11" s="1"/>
  <c r="D954" i="10"/>
  <c r="D59" i="11" s="1"/>
  <c r="D939" i="10"/>
  <c r="D859" i="10"/>
  <c r="D55" i="11" s="1"/>
  <c r="D837" i="10"/>
  <c r="D53" i="11" s="1"/>
  <c r="D766" i="10"/>
  <c r="D49" i="11" s="1"/>
  <c r="D422" i="10"/>
  <c r="D35" i="11" s="1"/>
  <c r="D411" i="10"/>
  <c r="D809" i="10"/>
  <c r="D546" i="10"/>
  <c r="D482" i="10"/>
  <c r="D38" i="11" s="1"/>
  <c r="C93" i="11"/>
  <c r="C50" i="11"/>
  <c r="C26" i="11"/>
  <c r="C79" i="11"/>
  <c r="D998" i="10"/>
  <c r="D896" i="10"/>
  <c r="D57" i="11" s="1"/>
  <c r="D249" i="10"/>
  <c r="D27" i="11" s="1"/>
  <c r="D37" i="11"/>
  <c r="D60" i="10"/>
  <c r="C72" i="11"/>
  <c r="C68" i="11"/>
  <c r="C67" i="11" s="1"/>
  <c r="C24" i="13" s="1"/>
  <c r="C66" i="11"/>
  <c r="C64" i="11"/>
  <c r="C62" i="11"/>
  <c r="C59" i="11"/>
  <c r="C58" i="11"/>
  <c r="C57" i="11"/>
  <c r="C56" i="11"/>
  <c r="C52" i="11"/>
  <c r="C47" i="11"/>
  <c r="D697" i="10"/>
  <c r="D46" i="11" s="1"/>
  <c r="D41" i="11"/>
  <c r="C40" i="11"/>
  <c r="D519" i="10"/>
  <c r="D39" i="11" s="1"/>
  <c r="C38" i="11"/>
  <c r="C32" i="11"/>
  <c r="D315" i="10"/>
  <c r="C30" i="11"/>
  <c r="C21" i="11"/>
  <c r="C20" i="11"/>
  <c r="C17" i="11"/>
  <c r="D1959" i="10"/>
  <c r="D1942" i="10"/>
  <c r="D1919" i="10"/>
  <c r="C108" i="11"/>
  <c r="D1884" i="10"/>
  <c r="C106" i="11"/>
  <c r="C105" i="11"/>
  <c r="D1867" i="10"/>
  <c r="D105" i="11" s="1"/>
  <c r="D1834" i="10"/>
  <c r="D1806" i="10"/>
  <c r="D100" i="11" s="1"/>
  <c r="D1784" i="10"/>
  <c r="D95" i="11"/>
  <c r="D1724" i="10"/>
  <c r="D94" i="11" s="1"/>
  <c r="D1710" i="10"/>
  <c r="C91" i="11"/>
  <c r="D1677" i="10"/>
  <c r="D1657" i="10"/>
  <c r="D90" i="11" s="1"/>
  <c r="D1630" i="10"/>
  <c r="D89" i="11" s="1"/>
  <c r="D1594" i="10"/>
  <c r="D87" i="11" s="1"/>
  <c r="D1552" i="10"/>
  <c r="D84" i="11" s="1"/>
  <c r="C83" i="11"/>
  <c r="D1487" i="10"/>
  <c r="C80" i="11"/>
  <c r="D1464" i="10"/>
  <c r="D80" i="11" s="1"/>
  <c r="D1435" i="10"/>
  <c r="D1408" i="10"/>
  <c r="D78" i="11" s="1"/>
  <c r="C77" i="11"/>
  <c r="D1359" i="10"/>
  <c r="D77" i="11" s="1"/>
  <c r="C76" i="11"/>
  <c r="D1332" i="10"/>
  <c r="D1320" i="10"/>
  <c r="D1190" i="10"/>
  <c r="D70" i="11" s="1"/>
  <c r="D1161" i="10"/>
  <c r="D69" i="11" s="1"/>
  <c r="D67" i="11" l="1"/>
  <c r="D24" i="13" s="1"/>
  <c r="D15" i="13"/>
  <c r="D82" i="11"/>
  <c r="D1486" i="10"/>
  <c r="D1941" i="10"/>
  <c r="D1120" i="10"/>
  <c r="D997" i="10"/>
  <c r="D72" i="11"/>
  <c r="D1200" i="10"/>
  <c r="C110" i="11"/>
  <c r="D75" i="11"/>
  <c r="D1319" i="10"/>
  <c r="D44" i="11"/>
  <c r="D585" i="10"/>
  <c r="C45" i="11"/>
  <c r="D23" i="11"/>
  <c r="D17" i="13" s="1"/>
  <c r="D858" i="10"/>
  <c r="D765" i="10"/>
  <c r="D59" i="10"/>
  <c r="D76" i="11"/>
  <c r="C71" i="11"/>
  <c r="C25" i="13" s="1"/>
  <c r="C89" i="11"/>
  <c r="D99" i="11"/>
  <c r="D104" i="11"/>
  <c r="D110" i="11"/>
  <c r="C27" i="11"/>
  <c r="D73" i="11"/>
  <c r="D79" i="11"/>
  <c r="C82" i="11"/>
  <c r="C99" i="11"/>
  <c r="D101" i="11"/>
  <c r="C104" i="11"/>
  <c r="D108" i="11"/>
  <c r="D111" i="11"/>
  <c r="C25" i="11"/>
  <c r="C39" i="11"/>
  <c r="C46" i="11"/>
  <c r="C51" i="11"/>
  <c r="D17" i="11"/>
  <c r="C18" i="11"/>
  <c r="C35" i="11"/>
  <c r="C75" i="11"/>
  <c r="C84" i="11"/>
  <c r="C90" i="11"/>
  <c r="D93" i="11"/>
  <c r="D96" i="11"/>
  <c r="C100" i="11"/>
  <c r="C102" i="11"/>
  <c r="C111" i="11"/>
  <c r="C15" i="11"/>
  <c r="C41" i="11"/>
  <c r="C49" i="11"/>
  <c r="C55" i="11"/>
  <c r="C54" i="11" s="1"/>
  <c r="C22" i="13" s="1"/>
  <c r="D52" i="11"/>
  <c r="D33" i="11"/>
  <c r="D102" i="11"/>
  <c r="C37" i="11"/>
  <c r="C44" i="11"/>
  <c r="C53" i="11"/>
  <c r="C63" i="11"/>
  <c r="C61" i="11" s="1"/>
  <c r="C23" i="13" s="1"/>
  <c r="D45" i="11"/>
  <c r="D58" i="11"/>
  <c r="C107" i="11"/>
  <c r="C87" i="11"/>
  <c r="D91" i="11"/>
  <c r="D86" i="11" s="1"/>
  <c r="D28" i="13" s="1"/>
  <c r="C101" i="11"/>
  <c r="D106" i="11"/>
  <c r="D40" i="11"/>
  <c r="D34" i="11" s="1"/>
  <c r="D19" i="13" s="1"/>
  <c r="D31" i="11"/>
  <c r="D50" i="11"/>
  <c r="C43" i="11"/>
  <c r="D43" i="11"/>
  <c r="D22" i="11"/>
  <c r="C22" i="11"/>
  <c r="C78" i="11"/>
  <c r="C95" i="11"/>
  <c r="C92" i="11" s="1"/>
  <c r="C29" i="13" s="1"/>
  <c r="D47" i="11"/>
  <c r="C28" i="11"/>
  <c r="C18" i="13" s="1"/>
  <c r="D62" i="11"/>
  <c r="D61" i="11" s="1"/>
  <c r="D23" i="13" s="1"/>
  <c r="D162" i="10"/>
  <c r="D304" i="10"/>
  <c r="D30" i="11"/>
  <c r="D421" i="10"/>
  <c r="D1709" i="10"/>
  <c r="D1849" i="10"/>
  <c r="D1783" i="10"/>
  <c r="D1593" i="10"/>
  <c r="C81" i="11" l="1"/>
  <c r="C27" i="13" s="1"/>
  <c r="C15" i="13"/>
  <c r="D81" i="11"/>
  <c r="D27" i="13" s="1"/>
  <c r="D71" i="11"/>
  <c r="D25" i="13" s="1"/>
  <c r="D109" i="11"/>
  <c r="D32" i="13" s="1"/>
  <c r="C109" i="11"/>
  <c r="C32" i="13" s="1"/>
  <c r="C23" i="11"/>
  <c r="C17" i="13" s="1"/>
  <c r="D48" i="11"/>
  <c r="D21" i="13" s="1"/>
  <c r="C86" i="11"/>
  <c r="C28" i="13" s="1"/>
  <c r="D74" i="11"/>
  <c r="D26" i="13" s="1"/>
  <c r="C42" i="11"/>
  <c r="C20" i="13" s="1"/>
  <c r="D42" i="11"/>
  <c r="D20" i="13" s="1"/>
  <c r="C34" i="11"/>
  <c r="C19" i="13" s="1"/>
  <c r="C48" i="11"/>
  <c r="C21" i="13" s="1"/>
  <c r="D54" i="11"/>
  <c r="D22" i="13" s="1"/>
  <c r="D98" i="11"/>
  <c r="D30" i="13" s="1"/>
  <c r="C74" i="11"/>
  <c r="C26" i="13" s="1"/>
  <c r="D103" i="11"/>
  <c r="D31" i="13" s="1"/>
  <c r="C98" i="11"/>
  <c r="C30" i="13" s="1"/>
  <c r="D92" i="11"/>
  <c r="D29" i="13" s="1"/>
  <c r="C19" i="11"/>
  <c r="C16" i="11" s="1"/>
  <c r="C16" i="13" s="1"/>
  <c r="D16" i="11"/>
  <c r="C103" i="11"/>
  <c r="C31" i="13" s="1"/>
  <c r="D28" i="11"/>
  <c r="D18" i="13" s="1"/>
  <c r="D16" i="13" l="1"/>
  <c r="D14" i="13" s="1"/>
  <c r="D14" i="11"/>
  <c r="C14" i="11"/>
  <c r="F2016" i="10"/>
  <c r="E1979" i="10"/>
  <c r="F1979" i="10" s="1"/>
  <c r="E1949" i="10"/>
  <c r="F1949" i="10" s="1"/>
  <c r="E1944" i="10"/>
  <c r="F1944" i="10" s="1"/>
  <c r="E1935" i="10"/>
  <c r="F1935" i="10" s="1"/>
  <c r="E1920" i="10"/>
  <c r="E1906" i="10"/>
  <c r="F1906" i="10" s="1"/>
  <c r="E1896" i="10"/>
  <c r="F1896" i="10" s="1"/>
  <c r="E1891" i="10"/>
  <c r="F1891" i="10" s="1"/>
  <c r="E1886" i="10"/>
  <c r="E1875" i="10"/>
  <c r="F1875" i="10" s="1"/>
  <c r="E1868" i="10"/>
  <c r="F1868" i="10" s="1"/>
  <c r="F1860" i="10"/>
  <c r="F1852" i="10"/>
  <c r="E1842" i="10"/>
  <c r="F1842" i="10" s="1"/>
  <c r="E1835" i="10"/>
  <c r="F1835" i="10" s="1"/>
  <c r="E1812" i="10"/>
  <c r="F1812" i="10" s="1"/>
  <c r="E1808" i="10"/>
  <c r="F1808" i="10" s="1"/>
  <c r="E1799" i="10"/>
  <c r="F1799" i="10" s="1"/>
  <c r="E1792" i="10"/>
  <c r="F1792" i="10" s="1"/>
  <c r="E1785" i="10"/>
  <c r="F1785" i="10" s="1"/>
  <c r="E1768" i="10"/>
  <c r="F1768" i="10" s="1"/>
  <c r="F1756" i="10"/>
  <c r="F1747" i="10"/>
  <c r="E1732" i="10"/>
  <c r="F1732" i="10" s="1"/>
  <c r="E1725" i="10"/>
  <c r="E1717" i="10"/>
  <c r="F1717" i="10" s="1"/>
  <c r="E1711" i="10"/>
  <c r="E1690" i="10"/>
  <c r="F1690" i="10" s="1"/>
  <c r="E1678" i="10"/>
  <c r="F1678" i="10" s="1"/>
  <c r="E1669" i="10"/>
  <c r="F1669" i="10" s="1"/>
  <c r="E1658" i="10"/>
  <c r="E1643" i="10"/>
  <c r="F1643" i="10" s="1"/>
  <c r="E1631" i="10"/>
  <c r="E1626" i="10"/>
  <c r="E1617" i="10"/>
  <c r="F1617" i="10" s="1"/>
  <c r="E1608" i="10"/>
  <c r="F1608" i="10" s="1"/>
  <c r="E1602" i="10"/>
  <c r="F1602" i="10" s="1"/>
  <c r="E1595" i="10"/>
  <c r="E1563" i="10"/>
  <c r="F1563" i="10" s="1"/>
  <c r="E1553" i="10"/>
  <c r="F85" i="11" s="1"/>
  <c r="F1549" i="10"/>
  <c r="E1532" i="10"/>
  <c r="F1532" i="10" s="1"/>
  <c r="E1519" i="10"/>
  <c r="E1505" i="10"/>
  <c r="F1505" i="10" s="1"/>
  <c r="E1497" i="10"/>
  <c r="E1488" i="10"/>
  <c r="E1473" i="10"/>
  <c r="F1473" i="10" s="1"/>
  <c r="E1465" i="10"/>
  <c r="F1465" i="10" s="1"/>
  <c r="E1447" i="10"/>
  <c r="F1447" i="10" s="1"/>
  <c r="E1424" i="10"/>
  <c r="F1424" i="10" s="1"/>
  <c r="E1409" i="10"/>
  <c r="F1398" i="10"/>
  <c r="F1390" i="10"/>
  <c r="F1384" i="10"/>
  <c r="F1369" i="10"/>
  <c r="E1360" i="10"/>
  <c r="F1360" i="10" s="1"/>
  <c r="E1346" i="10"/>
  <c r="F1346" i="10" s="1"/>
  <c r="E1334" i="10"/>
  <c r="E1326" i="10"/>
  <c r="F1326" i="10" s="1"/>
  <c r="E1322" i="10"/>
  <c r="F1322" i="10" s="1"/>
  <c r="F1196" i="10"/>
  <c r="E1192" i="10"/>
  <c r="E1181" i="10"/>
  <c r="F1181" i="10" s="1"/>
  <c r="E1172" i="10"/>
  <c r="F1172" i="10" s="1"/>
  <c r="E1162" i="10"/>
  <c r="F1162" i="10" s="1"/>
  <c r="F1299" i="10"/>
  <c r="E1287" i="10"/>
  <c r="F1287" i="10" s="1"/>
  <c r="E1277" i="10"/>
  <c r="F1277" i="10" s="1"/>
  <c r="E1269" i="10"/>
  <c r="F1269" i="10" s="1"/>
  <c r="E1261" i="10"/>
  <c r="F1261" i="10" s="1"/>
  <c r="E1254" i="10"/>
  <c r="E1233" i="10"/>
  <c r="F1233" i="10" s="1"/>
  <c r="E1202" i="10"/>
  <c r="E1152" i="10"/>
  <c r="F1152" i="10" s="1"/>
  <c r="E1145" i="10"/>
  <c r="F1145" i="10" s="1"/>
  <c r="E1138" i="10"/>
  <c r="F1138" i="10" s="1"/>
  <c r="E1132" i="10"/>
  <c r="F1132" i="10" s="1"/>
  <c r="E1128" i="10"/>
  <c r="F1128" i="10" s="1"/>
  <c r="E1122" i="10"/>
  <c r="E1106" i="10"/>
  <c r="F1106" i="10" s="1"/>
  <c r="E1097" i="10"/>
  <c r="F1097" i="10" s="1"/>
  <c r="E1087" i="10"/>
  <c r="F1087" i="10" s="1"/>
  <c r="E1078" i="10"/>
  <c r="F1078" i="10" s="1"/>
  <c r="E1070" i="10"/>
  <c r="F1070" i="10" s="1"/>
  <c r="E1065" i="10"/>
  <c r="F1065" i="10" s="1"/>
  <c r="E1062" i="10"/>
  <c r="F1062" i="10" s="1"/>
  <c r="E1049" i="10"/>
  <c r="F1049" i="10" s="1"/>
  <c r="E1041" i="10"/>
  <c r="E1029" i="10"/>
  <c r="F1029" i="10" s="1"/>
  <c r="E1020" i="10"/>
  <c r="E1008" i="10"/>
  <c r="F1008" i="10" s="1"/>
  <c r="E999" i="10"/>
  <c r="F999" i="10" s="1"/>
  <c r="E987" i="10"/>
  <c r="F987" i="10" s="1"/>
  <c r="E980" i="10"/>
  <c r="F980" i="10" s="1"/>
  <c r="E970" i="10"/>
  <c r="F970" i="10" s="1"/>
  <c r="E962" i="10"/>
  <c r="F962" i="10" s="1"/>
  <c r="E955" i="10"/>
  <c r="F955" i="10" s="1"/>
  <c r="E945" i="10"/>
  <c r="F945" i="10" s="1"/>
  <c r="E941" i="10"/>
  <c r="F941" i="10" s="1"/>
  <c r="E931" i="10"/>
  <c r="F931" i="10" s="1"/>
  <c r="E920" i="10"/>
  <c r="F920" i="10" s="1"/>
  <c r="E911" i="10"/>
  <c r="F911" i="10" s="1"/>
  <c r="E903" i="10"/>
  <c r="F903" i="10" s="1"/>
  <c r="E897" i="10"/>
  <c r="F897" i="10" s="1"/>
  <c r="E888" i="10"/>
  <c r="F888" i="10" s="1"/>
  <c r="E882" i="10"/>
  <c r="E873" i="10"/>
  <c r="F873" i="10" s="1"/>
  <c r="E867" i="10"/>
  <c r="F867" i="10" s="1"/>
  <c r="E860" i="10"/>
  <c r="F860" i="10" s="1"/>
  <c r="E848" i="10"/>
  <c r="F848" i="10" s="1"/>
  <c r="E839" i="10"/>
  <c r="F839" i="10" s="1"/>
  <c r="E834" i="10"/>
  <c r="F834" i="10" s="1"/>
  <c r="E826" i="10"/>
  <c r="F826" i="10" s="1"/>
  <c r="E810" i="10"/>
  <c r="F810" i="10" s="1"/>
  <c r="E801" i="10"/>
  <c r="F801" i="10" s="1"/>
  <c r="E792" i="10"/>
  <c r="F792" i="10" s="1"/>
  <c r="E786" i="10"/>
  <c r="F786" i="10" s="1"/>
  <c r="E778" i="10"/>
  <c r="F778" i="10" s="1"/>
  <c r="E772" i="10"/>
  <c r="F772" i="10" s="1"/>
  <c r="E768" i="10"/>
  <c r="F768" i="10" s="1"/>
  <c r="E749" i="10"/>
  <c r="F749" i="10" s="1"/>
  <c r="E744" i="10"/>
  <c r="E732" i="10"/>
  <c r="F732" i="10" s="1"/>
  <c r="E719" i="10"/>
  <c r="F719" i="10" s="1"/>
  <c r="E712" i="10"/>
  <c r="F712" i="10" s="1"/>
  <c r="E698" i="10"/>
  <c r="F698" i="10" s="1"/>
  <c r="F674" i="10"/>
  <c r="E666" i="10"/>
  <c r="F645" i="10"/>
  <c r="F639" i="10"/>
  <c r="E628" i="10"/>
  <c r="F616" i="10"/>
  <c r="E603" i="10"/>
  <c r="F603" i="10" s="1"/>
  <c r="F596" i="10"/>
  <c r="E574" i="10"/>
  <c r="F574" i="10" s="1"/>
  <c r="E569" i="10"/>
  <c r="F569" i="10" s="1"/>
  <c r="E563" i="10"/>
  <c r="F563" i="10" s="1"/>
  <c r="E558" i="10"/>
  <c r="F558" i="10" s="1"/>
  <c r="E547" i="10"/>
  <c r="E537" i="10"/>
  <c r="F537" i="10" s="1"/>
  <c r="E531" i="10"/>
  <c r="F531" i="10" s="1"/>
  <c r="E524" i="10"/>
  <c r="F524" i="10" s="1"/>
  <c r="E520" i="10"/>
  <c r="F520" i="10" s="1"/>
  <c r="E510" i="10"/>
  <c r="F510" i="10" s="1"/>
  <c r="E493" i="10"/>
  <c r="F493" i="10" s="1"/>
  <c r="E483" i="10"/>
  <c r="F467" i="10"/>
  <c r="E462" i="10"/>
  <c r="F462" i="10" s="1"/>
  <c r="F458" i="10"/>
  <c r="E451" i="10"/>
  <c r="E440" i="10"/>
  <c r="F440" i="10" s="1"/>
  <c r="E435" i="10"/>
  <c r="E429" i="10"/>
  <c r="F429" i="10" s="1"/>
  <c r="E424" i="10"/>
  <c r="F424" i="10" s="1"/>
  <c r="F417" i="10"/>
  <c r="E413" i="10"/>
  <c r="E403" i="10"/>
  <c r="F403" i="10" s="1"/>
  <c r="E394" i="10"/>
  <c r="F372" i="10"/>
  <c r="E340" i="10"/>
  <c r="F340" i="10" s="1"/>
  <c r="E327" i="10"/>
  <c r="F327" i="10" s="1"/>
  <c r="E316" i="10"/>
  <c r="F316" i="10" s="1"/>
  <c r="E310" i="10"/>
  <c r="F310" i="10" s="1"/>
  <c r="E293" i="10"/>
  <c r="F293" i="10" s="1"/>
  <c r="E283" i="10"/>
  <c r="F283" i="10" s="1"/>
  <c r="E277" i="10"/>
  <c r="F277" i="10" s="1"/>
  <c r="E270" i="10"/>
  <c r="F270" i="10" s="1"/>
  <c r="E261" i="10"/>
  <c r="F261" i="10" s="1"/>
  <c r="E250" i="10"/>
  <c r="F250" i="10" s="1"/>
  <c r="E237" i="10"/>
  <c r="F237" i="10" s="1"/>
  <c r="E227" i="10"/>
  <c r="F227" i="10" s="1"/>
  <c r="E202" i="10"/>
  <c r="F202" i="10" s="1"/>
  <c r="E190" i="10"/>
  <c r="F190" i="10" s="1"/>
  <c r="E177" i="10"/>
  <c r="F177" i="10" s="1"/>
  <c r="E164" i="10"/>
  <c r="F164" i="10" s="1"/>
  <c r="E156" i="10"/>
  <c r="F156" i="10" s="1"/>
  <c r="E150" i="10"/>
  <c r="F150" i="10" s="1"/>
  <c r="E144" i="10"/>
  <c r="F144" i="10" s="1"/>
  <c r="E138" i="10"/>
  <c r="F138" i="10" s="1"/>
  <c r="E131" i="10"/>
  <c r="F131" i="10" s="1"/>
  <c r="E123" i="10"/>
  <c r="F123" i="10" s="1"/>
  <c r="E110" i="10"/>
  <c r="F110" i="10" s="1"/>
  <c r="E104" i="10"/>
  <c r="F104" i="10" s="1"/>
  <c r="E97" i="10"/>
  <c r="F97" i="10" s="1"/>
  <c r="E93" i="10"/>
  <c r="E78" i="10"/>
  <c r="F78" i="10" s="1"/>
  <c r="E62" i="10"/>
  <c r="F62" i="10" s="1"/>
  <c r="F48" i="10"/>
  <c r="F45" i="10"/>
  <c r="F42" i="10"/>
  <c r="F39" i="10"/>
  <c r="F36" i="10"/>
  <c r="F33" i="10"/>
  <c r="E29" i="10"/>
  <c r="F22" i="10"/>
  <c r="F15" i="10"/>
  <c r="F1761" i="10" l="1"/>
  <c r="E1760" i="10"/>
  <c r="F1488" i="10"/>
  <c r="F1519" i="10"/>
  <c r="E1518" i="10"/>
  <c r="E450" i="10"/>
  <c r="E392" i="10"/>
  <c r="F1822" i="10"/>
  <c r="F666" i="10"/>
  <c r="E659" i="10"/>
  <c r="E1253" i="10"/>
  <c r="F1497" i="10"/>
  <c r="E1487" i="10"/>
  <c r="F1334" i="10"/>
  <c r="E1332" i="10"/>
  <c r="F29" i="10"/>
  <c r="E14" i="10"/>
  <c r="F660" i="10"/>
  <c r="F744" i="10"/>
  <c r="E743" i="10"/>
  <c r="E434" i="10"/>
  <c r="F1626" i="10"/>
  <c r="E1621" i="10"/>
  <c r="F93" i="10"/>
  <c r="E91" i="10"/>
  <c r="F91" i="10" s="1"/>
  <c r="F628" i="10"/>
  <c r="E627" i="10"/>
  <c r="E44" i="11" s="1"/>
  <c r="F44" i="11" s="1"/>
  <c r="F662" i="10"/>
  <c r="F643" i="10"/>
  <c r="F349" i="10"/>
  <c r="F1254" i="10"/>
  <c r="F587" i="10"/>
  <c r="E586" i="10"/>
  <c r="E1060" i="10"/>
  <c r="E65" i="11" s="1"/>
  <c r="E881" i="10"/>
  <c r="F882" i="10"/>
  <c r="E1018" i="10"/>
  <c r="F1020" i="10"/>
  <c r="E1121" i="10"/>
  <c r="E68" i="11" s="1"/>
  <c r="F1122" i="10"/>
  <c r="E1201" i="10"/>
  <c r="F1202" i="10"/>
  <c r="F394" i="10"/>
  <c r="E411" i="10"/>
  <c r="F413" i="10"/>
  <c r="F435" i="10"/>
  <c r="E482" i="10"/>
  <c r="F483" i="10"/>
  <c r="E546" i="10"/>
  <c r="F547" i="10"/>
  <c r="F1774" i="10"/>
  <c r="E97" i="11"/>
  <c r="F97" i="11" s="1"/>
  <c r="E1040" i="10"/>
  <c r="F1041" i="10"/>
  <c r="E791" i="10"/>
  <c r="F451" i="10"/>
  <c r="F2044" i="10"/>
  <c r="E1959" i="10"/>
  <c r="E1942" i="10"/>
  <c r="E1919" i="10"/>
  <c r="F1920" i="10"/>
  <c r="E1884" i="10"/>
  <c r="F1886" i="10"/>
  <c r="E1867" i="10"/>
  <c r="E1834" i="10"/>
  <c r="E1806" i="10"/>
  <c r="E1784" i="10"/>
  <c r="F1743" i="10"/>
  <c r="E1724" i="10"/>
  <c r="F1725" i="10"/>
  <c r="E1710" i="10"/>
  <c r="F1711" i="10"/>
  <c r="E1677" i="10"/>
  <c r="E1657" i="10"/>
  <c r="F1658" i="10"/>
  <c r="E1630" i="10"/>
  <c r="F1631" i="10"/>
  <c r="E1594" i="10"/>
  <c r="F1595" i="10"/>
  <c r="E1552" i="10"/>
  <c r="F1553" i="10"/>
  <c r="E1464" i="10"/>
  <c r="E1435" i="10"/>
  <c r="E1408" i="10"/>
  <c r="F1409" i="10"/>
  <c r="E1320" i="10"/>
  <c r="E1190" i="10"/>
  <c r="E70" i="11" s="1"/>
  <c r="F1192" i="10"/>
  <c r="E60" i="10"/>
  <c r="E103" i="10"/>
  <c r="E136" i="10"/>
  <c r="E148" i="10"/>
  <c r="E163" i="10"/>
  <c r="E189" i="10"/>
  <c r="E226" i="10"/>
  <c r="E249" i="10"/>
  <c r="E305" i="10"/>
  <c r="E315" i="10"/>
  <c r="E568" i="10"/>
  <c r="E697" i="10"/>
  <c r="E766" i="10"/>
  <c r="E776" i="10"/>
  <c r="E837" i="10"/>
  <c r="E859" i="10"/>
  <c r="E939" i="10"/>
  <c r="E954" i="10"/>
  <c r="E1161" i="10"/>
  <c r="E69" i="11" s="1"/>
  <c r="E1359" i="10"/>
  <c r="E896" i="10"/>
  <c r="E121" i="10"/>
  <c r="E422" i="10"/>
  <c r="E519" i="10"/>
  <c r="E809" i="10"/>
  <c r="E979" i="10"/>
  <c r="E60" i="11" s="1"/>
  <c r="E998" i="10"/>
  <c r="E1069" i="10"/>
  <c r="E1895" i="10"/>
  <c r="E67" i="11" l="1"/>
  <c r="E1941" i="10"/>
  <c r="E1486" i="10"/>
  <c r="E1200" i="10"/>
  <c r="F1200" i="10" s="1"/>
  <c r="E1120" i="10"/>
  <c r="F1120" i="10" s="1"/>
  <c r="E997" i="10"/>
  <c r="F65" i="11"/>
  <c r="F1486" i="10"/>
  <c r="E110" i="11"/>
  <c r="F1941" i="10"/>
  <c r="E1783" i="10"/>
  <c r="F1818" i="10"/>
  <c r="E1709" i="10"/>
  <c r="F1709" i="10" s="1"/>
  <c r="E1319" i="10"/>
  <c r="F1319" i="10" s="1"/>
  <c r="F366" i="10"/>
  <c r="E348" i="10"/>
  <c r="F1060" i="10"/>
  <c r="E18" i="11"/>
  <c r="F18" i="11" s="1"/>
  <c r="F1161" i="10"/>
  <c r="F69" i="11"/>
  <c r="F939" i="10"/>
  <c r="E58" i="11"/>
  <c r="F58" i="11" s="1"/>
  <c r="E53" i="11"/>
  <c r="F53" i="11" s="1"/>
  <c r="F837" i="10"/>
  <c r="E49" i="11"/>
  <c r="F49" i="11" s="1"/>
  <c r="F766" i="10"/>
  <c r="F697" i="10"/>
  <c r="E46" i="11"/>
  <c r="F46" i="11" s="1"/>
  <c r="F586" i="10"/>
  <c r="E43" i="11"/>
  <c r="E22" i="11"/>
  <c r="F22" i="11" s="1"/>
  <c r="F148" i="10"/>
  <c r="F1320" i="10"/>
  <c r="E75" i="11"/>
  <c r="F75" i="11" s="1"/>
  <c r="F1408" i="10"/>
  <c r="E78" i="11"/>
  <c r="F78" i="11" s="1"/>
  <c r="F1487" i="10"/>
  <c r="E82" i="11"/>
  <c r="F1552" i="10"/>
  <c r="E84" i="11"/>
  <c r="F84" i="11" s="1"/>
  <c r="F1594" i="10"/>
  <c r="E87" i="11"/>
  <c r="F87" i="11" s="1"/>
  <c r="F1630" i="10"/>
  <c r="E89" i="11"/>
  <c r="F89" i="11" s="1"/>
  <c r="F1657" i="10"/>
  <c r="E90" i="11"/>
  <c r="F90" i="11" s="1"/>
  <c r="F1867" i="10"/>
  <c r="E105" i="11"/>
  <c r="F105" i="11" s="1"/>
  <c r="F1884" i="10"/>
  <c r="E106" i="11"/>
  <c r="F106" i="11" s="1"/>
  <c r="F1919" i="10"/>
  <c r="E108" i="11"/>
  <c r="F108" i="11" s="1"/>
  <c r="F114" i="11"/>
  <c r="E40" i="11"/>
  <c r="F40" i="11" s="1"/>
  <c r="F546" i="10"/>
  <c r="E38" i="11"/>
  <c r="F38" i="11" s="1"/>
  <c r="F482" i="10"/>
  <c r="E36" i="11"/>
  <c r="F36" i="11" s="1"/>
  <c r="F434" i="10"/>
  <c r="E33" i="11"/>
  <c r="F33" i="11" s="1"/>
  <c r="F411" i="10"/>
  <c r="E32" i="11"/>
  <c r="F32" i="11" s="1"/>
  <c r="F392" i="10"/>
  <c r="F1201" i="10"/>
  <c r="E72" i="11"/>
  <c r="F68" i="11"/>
  <c r="F1121" i="10"/>
  <c r="E63" i="11"/>
  <c r="F63" i="11" s="1"/>
  <c r="F1018" i="10"/>
  <c r="E56" i="11"/>
  <c r="F56" i="11" s="1"/>
  <c r="F881" i="10"/>
  <c r="F1332" i="10"/>
  <c r="E76" i="11"/>
  <c r="F76" i="11" s="1"/>
  <c r="F60" i="11"/>
  <c r="F979" i="10"/>
  <c r="E35" i="11"/>
  <c r="F35" i="11" s="1"/>
  <c r="F422" i="10"/>
  <c r="F1895" i="10"/>
  <c r="E107" i="11"/>
  <c r="F107" i="11" s="1"/>
  <c r="F1621" i="10"/>
  <c r="E88" i="11"/>
  <c r="F88" i="11" s="1"/>
  <c r="F1253" i="10"/>
  <c r="E73" i="11"/>
  <c r="F73" i="11" s="1"/>
  <c r="E20" i="11"/>
  <c r="F20" i="11" s="1"/>
  <c r="F121" i="10"/>
  <c r="F1359" i="10"/>
  <c r="E77" i="11"/>
  <c r="F77" i="11" s="1"/>
  <c r="E59" i="11"/>
  <c r="F59" i="11" s="1"/>
  <c r="F954" i="10"/>
  <c r="E55" i="11"/>
  <c r="F55" i="11" s="1"/>
  <c r="F859" i="10"/>
  <c r="E50" i="11"/>
  <c r="F50" i="11" s="1"/>
  <c r="F776" i="10"/>
  <c r="E47" i="11"/>
  <c r="F47" i="11" s="1"/>
  <c r="F743" i="10"/>
  <c r="E45" i="11"/>
  <c r="F45" i="11" s="1"/>
  <c r="F659" i="10"/>
  <c r="F568" i="10"/>
  <c r="E41" i="11"/>
  <c r="F41" i="11" s="1"/>
  <c r="E29" i="11"/>
  <c r="F29" i="11" s="1"/>
  <c r="F305" i="10"/>
  <c r="F226" i="10"/>
  <c r="E26" i="11"/>
  <c r="F26" i="11" s="1"/>
  <c r="E21" i="11"/>
  <c r="F21" i="11" s="1"/>
  <c r="F136" i="10"/>
  <c r="F60" i="10"/>
  <c r="E17" i="11"/>
  <c r="F17" i="11" s="1"/>
  <c r="F1190" i="10"/>
  <c r="F70" i="11"/>
  <c r="F1464" i="10"/>
  <c r="E80" i="11"/>
  <c r="F80" i="11" s="1"/>
  <c r="F1710" i="10"/>
  <c r="E93" i="11"/>
  <c r="F93" i="11" s="1"/>
  <c r="F1724" i="10"/>
  <c r="E94" i="11"/>
  <c r="F94" i="11" s="1"/>
  <c r="F1741" i="10"/>
  <c r="E95" i="11"/>
  <c r="F95" i="11" s="1"/>
  <c r="F1806" i="10"/>
  <c r="E100" i="11"/>
  <c r="F100" i="11" s="1"/>
  <c r="F1817" i="10"/>
  <c r="E101" i="11"/>
  <c r="F101" i="11" s="1"/>
  <c r="F1850" i="10"/>
  <c r="E104" i="11"/>
  <c r="F2043" i="10"/>
  <c r="F791" i="10"/>
  <c r="E51" i="11"/>
  <c r="F51" i="11" s="1"/>
  <c r="F1834" i="10"/>
  <c r="E102" i="11"/>
  <c r="F102" i="11" s="1"/>
  <c r="F1518" i="10"/>
  <c r="E83" i="11"/>
  <c r="F1435" i="10"/>
  <c r="E79" i="11"/>
  <c r="F1069" i="10"/>
  <c r="E66" i="11"/>
  <c r="F66" i="11" s="1"/>
  <c r="E64" i="11"/>
  <c r="F64" i="11" s="1"/>
  <c r="F1040" i="10"/>
  <c r="E62" i="11"/>
  <c r="E61" i="11" s="1"/>
  <c r="E23" i="13" s="1"/>
  <c r="F998" i="10"/>
  <c r="E57" i="11"/>
  <c r="F896" i="10"/>
  <c r="E858" i="10"/>
  <c r="F858" i="10" s="1"/>
  <c r="E765" i="10"/>
  <c r="F765" i="10" s="1"/>
  <c r="E52" i="11"/>
  <c r="F809" i="10"/>
  <c r="E27" i="11"/>
  <c r="F27" i="11" s="1"/>
  <c r="F249" i="10"/>
  <c r="F189" i="10"/>
  <c r="E25" i="11"/>
  <c r="F25" i="11" s="1"/>
  <c r="E24" i="11"/>
  <c r="F163" i="10"/>
  <c r="E162" i="10"/>
  <c r="F162" i="10" s="1"/>
  <c r="E102" i="10"/>
  <c r="E59" i="10" s="1"/>
  <c r="F103" i="10"/>
  <c r="F2002" i="10"/>
  <c r="F112" i="11"/>
  <c r="F1959" i="10"/>
  <c r="E111" i="11"/>
  <c r="F1784" i="10"/>
  <c r="E99" i="11"/>
  <c r="F1760" i="10"/>
  <c r="E96" i="11"/>
  <c r="F315" i="10"/>
  <c r="E30" i="11"/>
  <c r="F450" i="10"/>
  <c r="E37" i="11"/>
  <c r="F37" i="11" s="1"/>
  <c r="F519" i="10"/>
  <c r="E39" i="11"/>
  <c r="F1677" i="10"/>
  <c r="E91" i="11"/>
  <c r="E585" i="10"/>
  <c r="F585" i="10" s="1"/>
  <c r="F627" i="10"/>
  <c r="F1942" i="10"/>
  <c r="E1849" i="10"/>
  <c r="F1849" i="10" s="1"/>
  <c r="E1593" i="10"/>
  <c r="F1593" i="10" s="1"/>
  <c r="F997" i="10"/>
  <c r="E421" i="10"/>
  <c r="E24" i="13" l="1"/>
  <c r="F24" i="13" s="1"/>
  <c r="F67" i="11"/>
  <c r="F82" i="11"/>
  <c r="E81" i="11"/>
  <c r="E27" i="13" s="1"/>
  <c r="F27" i="13" s="1"/>
  <c r="E109" i="11"/>
  <c r="E32" i="13" s="1"/>
  <c r="F110" i="11"/>
  <c r="F421" i="10"/>
  <c r="F59" i="10"/>
  <c r="F359" i="10"/>
  <c r="F1783" i="10"/>
  <c r="F1779" i="10"/>
  <c r="F104" i="11"/>
  <c r="E103" i="11"/>
  <c r="E71" i="11"/>
  <c r="F72" i="11"/>
  <c r="E42" i="11"/>
  <c r="F43" i="11"/>
  <c r="F83" i="11"/>
  <c r="E74" i="11"/>
  <c r="F79" i="11"/>
  <c r="F23" i="13"/>
  <c r="F62" i="11"/>
  <c r="E54" i="11"/>
  <c r="F57" i="11"/>
  <c r="E48" i="11"/>
  <c r="F52" i="11"/>
  <c r="E23" i="11"/>
  <c r="F24" i="11"/>
  <c r="E19" i="11"/>
  <c r="F102" i="10"/>
  <c r="F111" i="11"/>
  <c r="E98" i="11"/>
  <c r="F99" i="11"/>
  <c r="E92" i="11"/>
  <c r="F96" i="11"/>
  <c r="F30" i="11"/>
  <c r="E34" i="11"/>
  <c r="F39" i="11"/>
  <c r="E86" i="11"/>
  <c r="F91" i="11"/>
  <c r="E21" i="13" l="1"/>
  <c r="F21" i="13" s="1"/>
  <c r="E25" i="13"/>
  <c r="F25" i="13" s="1"/>
  <c r="E28" i="13"/>
  <c r="F28" i="13" s="1"/>
  <c r="E31" i="13"/>
  <c r="F31" i="13" s="1"/>
  <c r="E22" i="13"/>
  <c r="F22" i="13" s="1"/>
  <c r="E17" i="13"/>
  <c r="F17" i="13" s="1"/>
  <c r="E19" i="13"/>
  <c r="F19" i="13" s="1"/>
  <c r="E26" i="13"/>
  <c r="F26" i="13" s="1"/>
  <c r="E29" i="13"/>
  <c r="F29" i="13" s="1"/>
  <c r="E30" i="13"/>
  <c r="F30" i="13" s="1"/>
  <c r="E20" i="13"/>
  <c r="F20" i="13" s="1"/>
  <c r="F32" i="13"/>
  <c r="F109" i="11"/>
  <c r="F58" i="10"/>
  <c r="E31" i="11"/>
  <c r="E304" i="10"/>
  <c r="E13" i="10" s="1"/>
  <c r="F348" i="10"/>
  <c r="F42" i="11"/>
  <c r="F71" i="11"/>
  <c r="F103" i="11"/>
  <c r="F81" i="11"/>
  <c r="F74" i="11"/>
  <c r="F61" i="11"/>
  <c r="F54" i="11"/>
  <c r="F48" i="11"/>
  <c r="F23" i="11"/>
  <c r="E16" i="11"/>
  <c r="F19" i="11"/>
  <c r="F98" i="11"/>
  <c r="F92" i="11"/>
  <c r="F34" i="11"/>
  <c r="F86" i="11"/>
  <c r="E16" i="13" l="1"/>
  <c r="F16" i="13" s="1"/>
  <c r="F57" i="10"/>
  <c r="F31" i="11"/>
  <c r="E28" i="11"/>
  <c r="F304" i="10"/>
  <c r="F16" i="11"/>
  <c r="F28" i="11" l="1"/>
  <c r="E18" i="13"/>
  <c r="F56" i="10"/>
  <c r="F18" i="13" l="1"/>
  <c r="F55" i="10"/>
  <c r="F54" i="10" l="1"/>
  <c r="F53" i="10" l="1"/>
  <c r="F52" i="10" l="1"/>
  <c r="F51" i="10" l="1"/>
  <c r="F14" i="10" l="1"/>
  <c r="E15" i="11"/>
  <c r="F13" i="10"/>
  <c r="E15" i="13" l="1"/>
  <c r="E14" i="13" s="1"/>
  <c r="F14" i="13" s="1"/>
  <c r="E14" i="11"/>
  <c r="F14" i="11" s="1"/>
  <c r="F15" i="13"/>
  <c r="F15" i="11"/>
  <c r="F11" i="15" l="1"/>
  <c r="G8" i="15"/>
</calcChain>
</file>

<file path=xl/sharedStrings.xml><?xml version="1.0" encoding="utf-8"?>
<sst xmlns="http://schemas.openxmlformats.org/spreadsheetml/2006/main" count="2308" uniqueCount="1667">
  <si>
    <t>Republic of the Philippines</t>
  </si>
  <si>
    <t>Records and Statistics Division, ERSD</t>
  </si>
  <si>
    <t>REGION/PROVINCE/CITY/ MUNICIPALITY/LEGISLATIVE/ PROVINCIAL DISTRICT</t>
  </si>
  <si>
    <t>P H I L I P P I N E S</t>
  </si>
  <si>
    <t>N. C. R.</t>
  </si>
  <si>
    <t>City of Manila</t>
  </si>
  <si>
    <t>1st Legislative District</t>
  </si>
  <si>
    <t>2nd Legislative District</t>
  </si>
  <si>
    <t>3rd Legislative District</t>
  </si>
  <si>
    <t>4th Legislative District</t>
  </si>
  <si>
    <t>5th Legislative District</t>
  </si>
  <si>
    <t>6th Legislative District</t>
  </si>
  <si>
    <t>Quezon City</t>
  </si>
  <si>
    <t>City of Makati</t>
  </si>
  <si>
    <t>City of Marikina</t>
  </si>
  <si>
    <t>City of Parañaque</t>
  </si>
  <si>
    <t>City of Pasig</t>
  </si>
  <si>
    <t>City of Valenzuela</t>
  </si>
  <si>
    <t>Pasay City</t>
  </si>
  <si>
    <t>Pateros</t>
  </si>
  <si>
    <t>CORDILLERA ADM. REGION</t>
  </si>
  <si>
    <t>ABRA</t>
  </si>
  <si>
    <t>Lone Legislative District</t>
  </si>
  <si>
    <t>1st Provincial District</t>
  </si>
  <si>
    <t>Boliney</t>
  </si>
  <si>
    <t>Bucay</t>
  </si>
  <si>
    <t>Bucloc</t>
  </si>
  <si>
    <t>Daguioman</t>
  </si>
  <si>
    <t>Langiden</t>
  </si>
  <si>
    <t>Luba</t>
  </si>
  <si>
    <t>Manabo</t>
  </si>
  <si>
    <t>Peñarrubia</t>
  </si>
  <si>
    <t>Pidigan</t>
  </si>
  <si>
    <t>Pilar</t>
  </si>
  <si>
    <t>Sallapadan</t>
  </si>
  <si>
    <t>San Isidro</t>
  </si>
  <si>
    <t>San Quintin</t>
  </si>
  <si>
    <t>Tubo</t>
  </si>
  <si>
    <t>Villaviciosa</t>
  </si>
  <si>
    <t>2nd Provincial District</t>
  </si>
  <si>
    <t>Danglas</t>
  </si>
  <si>
    <t>Dolores</t>
  </si>
  <si>
    <t>La Paz</t>
  </si>
  <si>
    <t>Lacub</t>
  </si>
  <si>
    <t>Lagangilang</t>
  </si>
  <si>
    <t>Lagayan</t>
  </si>
  <si>
    <t>Malibcong</t>
  </si>
  <si>
    <t>San Juan</t>
  </si>
  <si>
    <t>Tayum</t>
  </si>
  <si>
    <t>Tineg</t>
  </si>
  <si>
    <t>APAYAO</t>
  </si>
  <si>
    <t>Conner</t>
  </si>
  <si>
    <t>Flora</t>
  </si>
  <si>
    <t>Luna</t>
  </si>
  <si>
    <t>Pudtol</t>
  </si>
  <si>
    <t>Santa Marcela</t>
  </si>
  <si>
    <t>BENGUET</t>
  </si>
  <si>
    <t>Bokod</t>
  </si>
  <si>
    <t>Itogon</t>
  </si>
  <si>
    <t>Kabayan</t>
  </si>
  <si>
    <t>Sablan</t>
  </si>
  <si>
    <t>Tuba</t>
  </si>
  <si>
    <t>Atok</t>
  </si>
  <si>
    <t>Bakun</t>
  </si>
  <si>
    <t>Buguias</t>
  </si>
  <si>
    <t>Kapangan</t>
  </si>
  <si>
    <t>Kibungan</t>
  </si>
  <si>
    <t>Mankayan</t>
  </si>
  <si>
    <t>Tublay</t>
  </si>
  <si>
    <t>IFUGAO</t>
  </si>
  <si>
    <t>Asipulo</t>
  </si>
  <si>
    <t>Hingyon</t>
  </si>
  <si>
    <t>Hungduan</t>
  </si>
  <si>
    <t>Kiangan</t>
  </si>
  <si>
    <t>Lamut</t>
  </si>
  <si>
    <t>Tinoc</t>
  </si>
  <si>
    <t>Aguinaldo</t>
  </si>
  <si>
    <t>Banaue</t>
  </si>
  <si>
    <t>Mayoyao</t>
  </si>
  <si>
    <t>KALINGA</t>
  </si>
  <si>
    <t>Balbalan</t>
  </si>
  <si>
    <t>Lubuagan</t>
  </si>
  <si>
    <t>Pasil</t>
  </si>
  <si>
    <t>Pinukpuk</t>
  </si>
  <si>
    <t>Tinglayan</t>
  </si>
  <si>
    <t>Tanudan</t>
  </si>
  <si>
    <t>MOUNTAIN PROVINCE</t>
  </si>
  <si>
    <t>Barlig</t>
  </si>
  <si>
    <t>Natonin</t>
  </si>
  <si>
    <t>Paracelis</t>
  </si>
  <si>
    <t>Sadanga</t>
  </si>
  <si>
    <t>Bauko</t>
  </si>
  <si>
    <t>Besao</t>
  </si>
  <si>
    <t>Sabangan</t>
  </si>
  <si>
    <t>Sagada</t>
  </si>
  <si>
    <t>Tadian</t>
  </si>
  <si>
    <t>REGION  I</t>
  </si>
  <si>
    <t>ILOCOS NORTE</t>
  </si>
  <si>
    <t>Adams</t>
  </si>
  <si>
    <t>Bacarra</t>
  </si>
  <si>
    <t>Bangui</t>
  </si>
  <si>
    <t>Burgos</t>
  </si>
  <si>
    <t>Carasi</t>
  </si>
  <si>
    <t>Dumalneg</t>
  </si>
  <si>
    <t>Pagudpud</t>
  </si>
  <si>
    <t>Pasuquin</t>
  </si>
  <si>
    <t>Piddig</t>
  </si>
  <si>
    <t>Sarrat</t>
  </si>
  <si>
    <t>Vintar</t>
  </si>
  <si>
    <t>Badoc</t>
  </si>
  <si>
    <t>Currimao</t>
  </si>
  <si>
    <t>Dingras</t>
  </si>
  <si>
    <t>Marcos</t>
  </si>
  <si>
    <t>Nueva Era</t>
  </si>
  <si>
    <t>Paoay</t>
  </si>
  <si>
    <t>Pinili</t>
  </si>
  <si>
    <t>San Nicolas</t>
  </si>
  <si>
    <t>Solsona</t>
  </si>
  <si>
    <t>ILOCOS SUR</t>
  </si>
  <si>
    <t>Bantay</t>
  </si>
  <si>
    <t>Cabugao</t>
  </si>
  <si>
    <t>Caoayan</t>
  </si>
  <si>
    <t>Magsingal</t>
  </si>
  <si>
    <t>San Ildefonso</t>
  </si>
  <si>
    <t>San Vicente</t>
  </si>
  <si>
    <t>Santa Catalina</t>
  </si>
  <si>
    <t>Santo Domingo</t>
  </si>
  <si>
    <t>Sinait</t>
  </si>
  <si>
    <t>Alilem</t>
  </si>
  <si>
    <t>Banayoyo</t>
  </si>
  <si>
    <t>Cervantes</t>
  </si>
  <si>
    <t>Galimuyod</t>
  </si>
  <si>
    <t>Lidlidda</t>
  </si>
  <si>
    <t>Nagbukel</t>
  </si>
  <si>
    <t>Narvacan</t>
  </si>
  <si>
    <t>San Emilio</t>
  </si>
  <si>
    <t>San Esteban</t>
  </si>
  <si>
    <t>Santa</t>
  </si>
  <si>
    <t>Santa Cruz</t>
  </si>
  <si>
    <t>Santa Lucia</t>
  </si>
  <si>
    <t>Santa Maria</t>
  </si>
  <si>
    <t>Santiago</t>
  </si>
  <si>
    <t>Sigay</t>
  </si>
  <si>
    <t>Sugpon</t>
  </si>
  <si>
    <t>Suyo</t>
  </si>
  <si>
    <t>Tagudin</t>
  </si>
  <si>
    <t>LA UNION</t>
  </si>
  <si>
    <t>Bacnotan</t>
  </si>
  <si>
    <t>Balaoan</t>
  </si>
  <si>
    <t>Bangar</t>
  </si>
  <si>
    <t>San Gabriel</t>
  </si>
  <si>
    <t>Santol</t>
  </si>
  <si>
    <t>Sudipen</t>
  </si>
  <si>
    <t>Agoo</t>
  </si>
  <si>
    <t>Aringay</t>
  </si>
  <si>
    <t>Bagulin</t>
  </si>
  <si>
    <t>Bauang</t>
  </si>
  <si>
    <t>Caba</t>
  </si>
  <si>
    <t>Naguilian</t>
  </si>
  <si>
    <t>Pugo</t>
  </si>
  <si>
    <t>Rosario</t>
  </si>
  <si>
    <t>Santo Tomas</t>
  </si>
  <si>
    <t>Tubao</t>
  </si>
  <si>
    <t>PANGASINAN</t>
  </si>
  <si>
    <t>Agno</t>
  </si>
  <si>
    <t>Anda</t>
  </si>
  <si>
    <t>Bani</t>
  </si>
  <si>
    <t>Bolinao</t>
  </si>
  <si>
    <t>Dasol</t>
  </si>
  <si>
    <t>Infanta</t>
  </si>
  <si>
    <t>Mabini</t>
  </si>
  <si>
    <t>Sual</t>
  </si>
  <si>
    <t>Aguilar</t>
  </si>
  <si>
    <t>Basista</t>
  </si>
  <si>
    <t>Binmaley</t>
  </si>
  <si>
    <t>Bugallon</t>
  </si>
  <si>
    <t>Labrador</t>
  </si>
  <si>
    <t>Mangatarem</t>
  </si>
  <si>
    <t>Urbiztondo</t>
  </si>
  <si>
    <t>Bayambang</t>
  </si>
  <si>
    <t>Calasiao</t>
  </si>
  <si>
    <t>Malasiqui</t>
  </si>
  <si>
    <t>Mapandan</t>
  </si>
  <si>
    <t>Santa Barbara</t>
  </si>
  <si>
    <t>Manaoag</t>
  </si>
  <si>
    <t>Mangaldan</t>
  </si>
  <si>
    <t>San Fabian</t>
  </si>
  <si>
    <t>San Jacinto</t>
  </si>
  <si>
    <t>Alcala</t>
  </si>
  <si>
    <t>Bautista</t>
  </si>
  <si>
    <t>Binalonan</t>
  </si>
  <si>
    <t>Laoac</t>
  </si>
  <si>
    <t>Pozorrubio</t>
  </si>
  <si>
    <t>Sison</t>
  </si>
  <si>
    <t>Villasis</t>
  </si>
  <si>
    <t>City of Urdaneta</t>
  </si>
  <si>
    <t>Asingan</t>
  </si>
  <si>
    <t>Balungao</t>
  </si>
  <si>
    <t>Natividad</t>
  </si>
  <si>
    <t>San Manuel</t>
  </si>
  <si>
    <t>Tayug</t>
  </si>
  <si>
    <t>Umingan</t>
  </si>
  <si>
    <t>REGION  II</t>
  </si>
  <si>
    <t>BATANES</t>
  </si>
  <si>
    <t>Mahatao</t>
  </si>
  <si>
    <t>Itbayat</t>
  </si>
  <si>
    <t>Ivana</t>
  </si>
  <si>
    <t>Sabtang</t>
  </si>
  <si>
    <t>Uyugan</t>
  </si>
  <si>
    <t>CAGAYAN</t>
  </si>
  <si>
    <t>Aparri</t>
  </si>
  <si>
    <t>Baggao</t>
  </si>
  <si>
    <t>Buguey</t>
  </si>
  <si>
    <t>Camalaniugan</t>
  </si>
  <si>
    <t>Gattaran</t>
  </si>
  <si>
    <t>Gonzaga</t>
  </si>
  <si>
    <t>Lal-lo</t>
  </si>
  <si>
    <t>Santa Ana</t>
  </si>
  <si>
    <t>Santa Teresita</t>
  </si>
  <si>
    <t>Abulug</t>
  </si>
  <si>
    <t>Allacapan</t>
  </si>
  <si>
    <t>Ballesteros</t>
  </si>
  <si>
    <t>Calayan</t>
  </si>
  <si>
    <t>Claveria</t>
  </si>
  <si>
    <t>Lasam</t>
  </si>
  <si>
    <t>Pamplona</t>
  </si>
  <si>
    <t>Piat</t>
  </si>
  <si>
    <t>Rizal</t>
  </si>
  <si>
    <t>Sanchez-Mira</t>
  </si>
  <si>
    <t>Santa Praxedes</t>
  </si>
  <si>
    <t>Amulung</t>
  </si>
  <si>
    <t>Enrile</t>
  </si>
  <si>
    <t>Iguig</t>
  </si>
  <si>
    <t>Peñablanca</t>
  </si>
  <si>
    <t>Solana</t>
  </si>
  <si>
    <t>Tuao</t>
  </si>
  <si>
    <t>ISABELA</t>
  </si>
  <si>
    <t>Cabagan</t>
  </si>
  <si>
    <t>Divilacan</t>
  </si>
  <si>
    <t>Maconacon</t>
  </si>
  <si>
    <t>Palanan</t>
  </si>
  <si>
    <t>San Pablo</t>
  </si>
  <si>
    <t>Tumauini</t>
  </si>
  <si>
    <t>Aurora</t>
  </si>
  <si>
    <t>Benito Soliven</t>
  </si>
  <si>
    <t>Gamu</t>
  </si>
  <si>
    <t>Mallig</t>
  </si>
  <si>
    <t>Quezon</t>
  </si>
  <si>
    <t>Quirino</t>
  </si>
  <si>
    <t>Roxas</t>
  </si>
  <si>
    <t>San Mariano</t>
  </si>
  <si>
    <t>Alicia</t>
  </si>
  <si>
    <t>Angadanan</t>
  </si>
  <si>
    <t>Cabatuan</t>
  </si>
  <si>
    <t>Reina Mercedes</t>
  </si>
  <si>
    <t>San Guillermo</t>
  </si>
  <si>
    <t>San Mateo</t>
  </si>
  <si>
    <t>Cordon</t>
  </si>
  <si>
    <t>Dinapigue</t>
  </si>
  <si>
    <t>Echague</t>
  </si>
  <si>
    <t>Jones</t>
  </si>
  <si>
    <t>Ramon</t>
  </si>
  <si>
    <t>San Agustin</t>
  </si>
  <si>
    <t>City of Santiago</t>
  </si>
  <si>
    <t>NUEVA VIZCAYA</t>
  </si>
  <si>
    <t>Alfonso Castañeda</t>
  </si>
  <si>
    <t>Aritao</t>
  </si>
  <si>
    <t>Bambang</t>
  </si>
  <si>
    <t>Dupax del Norte</t>
  </si>
  <si>
    <t>Dupax del Sur</t>
  </si>
  <si>
    <t>Kasibu</t>
  </si>
  <si>
    <t>Kayapa</t>
  </si>
  <si>
    <t>Santa Fe</t>
  </si>
  <si>
    <t>Ambaguio</t>
  </si>
  <si>
    <t>Bagabag</t>
  </si>
  <si>
    <t>Diadi</t>
  </si>
  <si>
    <t>Solano</t>
  </si>
  <si>
    <t>Villaverde</t>
  </si>
  <si>
    <t>QUIRINO</t>
  </si>
  <si>
    <t>Diffun</t>
  </si>
  <si>
    <t>Saguday</t>
  </si>
  <si>
    <t>Aglipay</t>
  </si>
  <si>
    <t>Maddela</t>
  </si>
  <si>
    <t>Nagtipunan</t>
  </si>
  <si>
    <t>REGION  III</t>
  </si>
  <si>
    <t>AURORA</t>
  </si>
  <si>
    <t>Dingalan</t>
  </si>
  <si>
    <t>Maria Aurora</t>
  </si>
  <si>
    <t>San Luis</t>
  </si>
  <si>
    <t>Casiguran</t>
  </si>
  <si>
    <t>Dilasag</t>
  </si>
  <si>
    <t>Dinalungan</t>
  </si>
  <si>
    <t>Dipaculao</t>
  </si>
  <si>
    <t>BATAAN</t>
  </si>
  <si>
    <t>Abucay</t>
  </si>
  <si>
    <t>Hermosa</t>
  </si>
  <si>
    <t>Morong</t>
  </si>
  <si>
    <t>Orani</t>
  </si>
  <si>
    <t>Samal</t>
  </si>
  <si>
    <t>Bagac</t>
  </si>
  <si>
    <t>Limay</t>
  </si>
  <si>
    <t>Mariveles</t>
  </si>
  <si>
    <t>Orion</t>
  </si>
  <si>
    <t>BULACAN</t>
  </si>
  <si>
    <t>Bulacan</t>
  </si>
  <si>
    <t>Calumpit</t>
  </si>
  <si>
    <t>Hagonoy</t>
  </si>
  <si>
    <t>Paombong</t>
  </si>
  <si>
    <t>Pulilan</t>
  </si>
  <si>
    <t>Bocaue</t>
  </si>
  <si>
    <t>Bustos</t>
  </si>
  <si>
    <t>Guiguinto</t>
  </si>
  <si>
    <t>Pandi</t>
  </si>
  <si>
    <t>Plaridel</t>
  </si>
  <si>
    <t>Angat</t>
  </si>
  <si>
    <t>Doña Remedios Trinidad</t>
  </si>
  <si>
    <t>Norzagaray</t>
  </si>
  <si>
    <t>San Miguel</t>
  </si>
  <si>
    <t>San Rafael</t>
  </si>
  <si>
    <t>Marilao</t>
  </si>
  <si>
    <t>Obando</t>
  </si>
  <si>
    <t>City of Mecauayan</t>
  </si>
  <si>
    <t>NUEVA ECIJA</t>
  </si>
  <si>
    <t>Aliaga</t>
  </si>
  <si>
    <t>Cuyapo</t>
  </si>
  <si>
    <t>Guimba</t>
  </si>
  <si>
    <t>Licab</t>
  </si>
  <si>
    <t>Nampicuan</t>
  </si>
  <si>
    <t>Talavera</t>
  </si>
  <si>
    <t>Zaragoza</t>
  </si>
  <si>
    <t>Carranglan</t>
  </si>
  <si>
    <t>Llanera</t>
  </si>
  <si>
    <t>Lupao</t>
  </si>
  <si>
    <t>Pantabangan</t>
  </si>
  <si>
    <t>Talugtug</t>
  </si>
  <si>
    <t>San Jose City</t>
  </si>
  <si>
    <t>Science City of Muñoz</t>
  </si>
  <si>
    <t>Bongabon</t>
  </si>
  <si>
    <t>General Mamerto Natividad</t>
  </si>
  <si>
    <t>Laur</t>
  </si>
  <si>
    <t>Santa Rosa</t>
  </si>
  <si>
    <t>Cabiao</t>
  </si>
  <si>
    <t>Jaen</t>
  </si>
  <si>
    <t>Peñaranda</t>
  </si>
  <si>
    <t>San Antonio</t>
  </si>
  <si>
    <t>San Leonardo</t>
  </si>
  <si>
    <t>PAMPANGA</t>
  </si>
  <si>
    <t>Magalang</t>
  </si>
  <si>
    <t>Mabalacat City</t>
  </si>
  <si>
    <t>Floridablanca</t>
  </si>
  <si>
    <t>Guagua</t>
  </si>
  <si>
    <t>Lubao</t>
  </si>
  <si>
    <t>Porac</t>
  </si>
  <si>
    <t>Santa Rita</t>
  </si>
  <si>
    <t>Arayat</t>
  </si>
  <si>
    <t>Bacolor</t>
  </si>
  <si>
    <t>Mexico</t>
  </si>
  <si>
    <t>Apalit</t>
  </si>
  <si>
    <t>Candaba</t>
  </si>
  <si>
    <t>Macabebe</t>
  </si>
  <si>
    <t>Masantol</t>
  </si>
  <si>
    <t>Minalin</t>
  </si>
  <si>
    <t>San Simon</t>
  </si>
  <si>
    <t>TARLAC</t>
  </si>
  <si>
    <t>Anao</t>
  </si>
  <si>
    <t>Camiling</t>
  </si>
  <si>
    <t>Mayantoc</t>
  </si>
  <si>
    <t>Moncada</t>
  </si>
  <si>
    <t>Paniqui</t>
  </si>
  <si>
    <t>Pura</t>
  </si>
  <si>
    <t>Ramos</t>
  </si>
  <si>
    <t>San Clemente</t>
  </si>
  <si>
    <t>Santa Ignacia</t>
  </si>
  <si>
    <t>Gerona</t>
  </si>
  <si>
    <t>San Jose</t>
  </si>
  <si>
    <t>Victoria</t>
  </si>
  <si>
    <t>Bamban</t>
  </si>
  <si>
    <t>Capas</t>
  </si>
  <si>
    <t>Concepcion</t>
  </si>
  <si>
    <t>ZAMBALES</t>
  </si>
  <si>
    <t>Castillejos</t>
  </si>
  <si>
    <t>San Marcelino</t>
  </si>
  <si>
    <t>Subic</t>
  </si>
  <si>
    <t>Botolan</t>
  </si>
  <si>
    <t>Cabangan</t>
  </si>
  <si>
    <t>Candelaria</t>
  </si>
  <si>
    <t>Masinloc</t>
  </si>
  <si>
    <t>Palauig</t>
  </si>
  <si>
    <t>San Felipe</t>
  </si>
  <si>
    <t>San Narciso</t>
  </si>
  <si>
    <t>REGION  IV-A</t>
  </si>
  <si>
    <t>BATANGAS</t>
  </si>
  <si>
    <t>Balayan</t>
  </si>
  <si>
    <t>Calatagan</t>
  </si>
  <si>
    <t>Lemery</t>
  </si>
  <si>
    <t>Lian</t>
  </si>
  <si>
    <t>Nasugbu</t>
  </si>
  <si>
    <t>Taal</t>
  </si>
  <si>
    <t>Tuy</t>
  </si>
  <si>
    <t>Bauan</t>
  </si>
  <si>
    <t>Lobo</t>
  </si>
  <si>
    <t>San Pascual</t>
  </si>
  <si>
    <t>Tingloy</t>
  </si>
  <si>
    <t>Agoncillo</t>
  </si>
  <si>
    <t>Alitagtag</t>
  </si>
  <si>
    <t>Balete</t>
  </si>
  <si>
    <t>Cuenca</t>
  </si>
  <si>
    <t>Laurel</t>
  </si>
  <si>
    <t>Malvar</t>
  </si>
  <si>
    <t>Mataas na Kahoy</t>
  </si>
  <si>
    <t>Talisay</t>
  </si>
  <si>
    <t>Ibaan</t>
  </si>
  <si>
    <t>Padre Garcia</t>
  </si>
  <si>
    <t>Taysan</t>
  </si>
  <si>
    <t>CAVITE</t>
  </si>
  <si>
    <t>Kawit</t>
  </si>
  <si>
    <t>Noveleta</t>
  </si>
  <si>
    <t>Silang</t>
  </si>
  <si>
    <t>Amadeo</t>
  </si>
  <si>
    <t>Tanza</t>
  </si>
  <si>
    <t>7th Legislative District</t>
  </si>
  <si>
    <t>Alfonso</t>
  </si>
  <si>
    <t>General Emilio Aguinaldo</t>
  </si>
  <si>
    <t>Indang</t>
  </si>
  <si>
    <t>Magallanes</t>
  </si>
  <si>
    <t>Maragondon</t>
  </si>
  <si>
    <t>Naic</t>
  </si>
  <si>
    <t>Ternate</t>
  </si>
  <si>
    <t>LAGUNA</t>
  </si>
  <si>
    <t>Bay</t>
  </si>
  <si>
    <t>Los Baños</t>
  </si>
  <si>
    <t>Alaminos</t>
  </si>
  <si>
    <t>Calauan</t>
  </si>
  <si>
    <t>Liliw</t>
  </si>
  <si>
    <t>Nagcarlan</t>
  </si>
  <si>
    <t>Cavinti</t>
  </si>
  <si>
    <t>Famy</t>
  </si>
  <si>
    <t>Kalayaan</t>
  </si>
  <si>
    <t>Luisiana</t>
  </si>
  <si>
    <t>Mabitac</t>
  </si>
  <si>
    <t>Magdalena</t>
  </si>
  <si>
    <t>Majayjay</t>
  </si>
  <si>
    <t>Paete</t>
  </si>
  <si>
    <t>Pagsanjan</t>
  </si>
  <si>
    <t>Pakil</t>
  </si>
  <si>
    <t>Pangil</t>
  </si>
  <si>
    <t>Pila</t>
  </si>
  <si>
    <t>Siniloan</t>
  </si>
  <si>
    <t>QUEZON</t>
  </si>
  <si>
    <t>Burdeos</t>
  </si>
  <si>
    <t>General Nakar</t>
  </si>
  <si>
    <t>Jomalig</t>
  </si>
  <si>
    <t>Lucban</t>
  </si>
  <si>
    <t>Mauban</t>
  </si>
  <si>
    <t>Pagbilao</t>
  </si>
  <si>
    <t>Panukulan</t>
  </si>
  <si>
    <t>Patnanungan</t>
  </si>
  <si>
    <t>Polillo</t>
  </si>
  <si>
    <t>Real</t>
  </si>
  <si>
    <t>Sampaloc</t>
  </si>
  <si>
    <t>Sariaya</t>
  </si>
  <si>
    <t>Tiaong</t>
  </si>
  <si>
    <t>Agdangan</t>
  </si>
  <si>
    <t>Buenavista</t>
  </si>
  <si>
    <t>Catanauan</t>
  </si>
  <si>
    <t>General Luna</t>
  </si>
  <si>
    <t>Macalelon</t>
  </si>
  <si>
    <t>Mulanay</t>
  </si>
  <si>
    <t>Padre Burgos</t>
  </si>
  <si>
    <t>Pitogo</t>
  </si>
  <si>
    <t>San Andres</t>
  </si>
  <si>
    <t>Unisan</t>
  </si>
  <si>
    <t>Alabat</t>
  </si>
  <si>
    <t>Atimonan</t>
  </si>
  <si>
    <t>Calauag</t>
  </si>
  <si>
    <t>Guinayangan</t>
  </si>
  <si>
    <t>Gumaca</t>
  </si>
  <si>
    <t>Lopez</t>
  </si>
  <si>
    <t>Perez</t>
  </si>
  <si>
    <t>Tagkawayan</t>
  </si>
  <si>
    <t>RIZAL</t>
  </si>
  <si>
    <t>Angono</t>
  </si>
  <si>
    <t>Binangonan</t>
  </si>
  <si>
    <t>Cainta</t>
  </si>
  <si>
    <t>Taytay</t>
  </si>
  <si>
    <t>Baras</t>
  </si>
  <si>
    <t>Cardona</t>
  </si>
  <si>
    <t>Jala-jala</t>
  </si>
  <si>
    <t>Pililla</t>
  </si>
  <si>
    <t>Tanay</t>
  </si>
  <si>
    <t>Teresa</t>
  </si>
  <si>
    <t>REGION  IV-B</t>
  </si>
  <si>
    <t>MARINDUQUE</t>
  </si>
  <si>
    <t>Gasan</t>
  </si>
  <si>
    <t>Mogpog</t>
  </si>
  <si>
    <t>Torrijos</t>
  </si>
  <si>
    <t>OCCIDENTAL MINDORO</t>
  </si>
  <si>
    <t>Abra De Ilog</t>
  </si>
  <si>
    <t>Looc</t>
  </si>
  <si>
    <t>Lubang</t>
  </si>
  <si>
    <t>Paluan</t>
  </si>
  <si>
    <t>Sablayan</t>
  </si>
  <si>
    <t>Calintaan</t>
  </si>
  <si>
    <t>Magsaysay</t>
  </si>
  <si>
    <t>ORIENTAL MINDORO</t>
  </si>
  <si>
    <t>Baco</t>
  </si>
  <si>
    <t>Naujan</t>
  </si>
  <si>
    <t>Pola</t>
  </si>
  <si>
    <t>Puerto Galera</t>
  </si>
  <si>
    <t>San Teodoro</t>
  </si>
  <si>
    <t>Socorro</t>
  </si>
  <si>
    <t>Bansud</t>
  </si>
  <si>
    <t>Bongabong</t>
  </si>
  <si>
    <t>Gloria</t>
  </si>
  <si>
    <t>Mansalay</t>
  </si>
  <si>
    <t>Pinamalayan</t>
  </si>
  <si>
    <t>PALAWAN</t>
  </si>
  <si>
    <t>Agutaya</t>
  </si>
  <si>
    <t>Araceli</t>
  </si>
  <si>
    <t>Busuanga</t>
  </si>
  <si>
    <t>Cagayancillo</t>
  </si>
  <si>
    <t>Coron</t>
  </si>
  <si>
    <t>Culion</t>
  </si>
  <si>
    <t>Cuyo</t>
  </si>
  <si>
    <t>Dumaran</t>
  </si>
  <si>
    <t>Linapacan</t>
  </si>
  <si>
    <t>Balabac</t>
  </si>
  <si>
    <t>Bataraza</t>
  </si>
  <si>
    <t>Brooke's Point</t>
  </si>
  <si>
    <t>Narra</t>
  </si>
  <si>
    <t>Sofronio Española</t>
  </si>
  <si>
    <t>Aborlan</t>
  </si>
  <si>
    <t>ROMBLON</t>
  </si>
  <si>
    <t>Banton</t>
  </si>
  <si>
    <t>Cajidiocan</t>
  </si>
  <si>
    <t>Corcuera</t>
  </si>
  <si>
    <t>Magdiwang</t>
  </si>
  <si>
    <t>San Fernando</t>
  </si>
  <si>
    <t>Alcantara</t>
  </si>
  <si>
    <t>Calatrava</t>
  </si>
  <si>
    <t>Ferrol</t>
  </si>
  <si>
    <t>REGION  V</t>
  </si>
  <si>
    <t>ALBAY</t>
  </si>
  <si>
    <t>Bacacay</t>
  </si>
  <si>
    <t>Malilipot</t>
  </si>
  <si>
    <t>Malinao</t>
  </si>
  <si>
    <t>Tiwi</t>
  </si>
  <si>
    <t>Camalig</t>
  </si>
  <si>
    <t>Manito</t>
  </si>
  <si>
    <t>Rapu-rapu</t>
  </si>
  <si>
    <t>Guinobatan</t>
  </si>
  <si>
    <t>Libon</t>
  </si>
  <si>
    <t>Oas</t>
  </si>
  <si>
    <t>Pio Duran</t>
  </si>
  <si>
    <t>Polangui</t>
  </si>
  <si>
    <t>CAMARINES NORTE</t>
  </si>
  <si>
    <t>Capalonga</t>
  </si>
  <si>
    <t>Jose Panganiban</t>
  </si>
  <si>
    <t>Labo</t>
  </si>
  <si>
    <t>Paracale</t>
  </si>
  <si>
    <t>Santa Elena</t>
  </si>
  <si>
    <t>Basud</t>
  </si>
  <si>
    <t>Mercedes</t>
  </si>
  <si>
    <t>Vinzons</t>
  </si>
  <si>
    <t>CAMARINES SUR</t>
  </si>
  <si>
    <t>Cabusao</t>
  </si>
  <si>
    <t>Del Gallego</t>
  </si>
  <si>
    <t>Lupi</t>
  </si>
  <si>
    <t>Ragay</t>
  </si>
  <si>
    <t>Sipocot</t>
  </si>
  <si>
    <t>Gainza</t>
  </si>
  <si>
    <t>Libmanan</t>
  </si>
  <si>
    <t>Milaor</t>
  </si>
  <si>
    <t>Minalabac</t>
  </si>
  <si>
    <t>Pasacao</t>
  </si>
  <si>
    <t>Bombon</t>
  </si>
  <si>
    <t>Calabanga</t>
  </si>
  <si>
    <t>Camaligan</t>
  </si>
  <si>
    <t>Canaman</t>
  </si>
  <si>
    <t>Magarao</t>
  </si>
  <si>
    <t>Ocampo</t>
  </si>
  <si>
    <t>Caramoan</t>
  </si>
  <si>
    <t>Garchitorena</t>
  </si>
  <si>
    <t>Goa</t>
  </si>
  <si>
    <t>Lagonoy</t>
  </si>
  <si>
    <t>Sagñay</t>
  </si>
  <si>
    <t>Tigaon</t>
  </si>
  <si>
    <t>Tinambac</t>
  </si>
  <si>
    <t>Baao</t>
  </si>
  <si>
    <t>Bato</t>
  </si>
  <si>
    <t>Bula</t>
  </si>
  <si>
    <t>CATANDUANES</t>
  </si>
  <si>
    <t>Caramoran</t>
  </si>
  <si>
    <t>Bagamanoc</t>
  </si>
  <si>
    <t>Gigmoto</t>
  </si>
  <si>
    <t>Pandan</t>
  </si>
  <si>
    <t>Viga</t>
  </si>
  <si>
    <t>MASBATE</t>
  </si>
  <si>
    <t>Batuan</t>
  </si>
  <si>
    <t>Monreal</t>
  </si>
  <si>
    <t>Aroroy</t>
  </si>
  <si>
    <t>Baleno</t>
  </si>
  <si>
    <t>Balud</t>
  </si>
  <si>
    <t>Mandaon</t>
  </si>
  <si>
    <t>Milagros</t>
  </si>
  <si>
    <t>Mobo</t>
  </si>
  <si>
    <t>Cataingan</t>
  </si>
  <si>
    <t>Cawayan</t>
  </si>
  <si>
    <t>Dimasalang</t>
  </si>
  <si>
    <t>Esperanza</t>
  </si>
  <si>
    <t>Palanas</t>
  </si>
  <si>
    <t>Placer</t>
  </si>
  <si>
    <t>Uson</t>
  </si>
  <si>
    <t>SORSOGON</t>
  </si>
  <si>
    <t>Castilla</t>
  </si>
  <si>
    <t>Donsol</t>
  </si>
  <si>
    <t>Barcelona</t>
  </si>
  <si>
    <t>Bulan</t>
  </si>
  <si>
    <t>Bulusan</t>
  </si>
  <si>
    <t>Gubat</t>
  </si>
  <si>
    <t>Irosin</t>
  </si>
  <si>
    <t>Juban</t>
  </si>
  <si>
    <t>Matnog</t>
  </si>
  <si>
    <t>Prieto Diaz</t>
  </si>
  <si>
    <t>Santa Magdalena</t>
  </si>
  <si>
    <t>REGION  VI</t>
  </si>
  <si>
    <t>AKLAN</t>
  </si>
  <si>
    <t>Altavas</t>
  </si>
  <si>
    <t>Banga</t>
  </si>
  <si>
    <t>Batan</t>
  </si>
  <si>
    <t>Libacao</t>
  </si>
  <si>
    <t>Madalag</t>
  </si>
  <si>
    <t>New Washington</t>
  </si>
  <si>
    <t>Buruanga</t>
  </si>
  <si>
    <t>Ibajay</t>
  </si>
  <si>
    <t>Lezo</t>
  </si>
  <si>
    <t>Makato</t>
  </si>
  <si>
    <t>Malay</t>
  </si>
  <si>
    <t>Nabas</t>
  </si>
  <si>
    <t>Numancia</t>
  </si>
  <si>
    <t>Tangalan</t>
  </si>
  <si>
    <t>ANTIQUE</t>
  </si>
  <si>
    <t>Anini-y</t>
  </si>
  <si>
    <t>Belison</t>
  </si>
  <si>
    <t>Hamtic</t>
  </si>
  <si>
    <t>San Remigio</t>
  </si>
  <si>
    <t>Sibalom</t>
  </si>
  <si>
    <t>Valderrama</t>
  </si>
  <si>
    <t>Barbaza</t>
  </si>
  <si>
    <t>Bugasong</t>
  </si>
  <si>
    <t>Caluya</t>
  </si>
  <si>
    <t>Culasi</t>
  </si>
  <si>
    <t>Laua-an</t>
  </si>
  <si>
    <t>Libertad</t>
  </si>
  <si>
    <t>Patnongon</t>
  </si>
  <si>
    <t>Sebaste</t>
  </si>
  <si>
    <t>Tibiao</t>
  </si>
  <si>
    <t>CAPIZ</t>
  </si>
  <si>
    <t>Ma-ayon</t>
  </si>
  <si>
    <t>Panay</t>
  </si>
  <si>
    <t>Panitan</t>
  </si>
  <si>
    <t>Pontevedra</t>
  </si>
  <si>
    <t>President Roxas</t>
  </si>
  <si>
    <t>Cuartero</t>
  </si>
  <si>
    <t>Dao</t>
  </si>
  <si>
    <t>Dumalag</t>
  </si>
  <si>
    <t>Dumarao</t>
  </si>
  <si>
    <t>Ivisan</t>
  </si>
  <si>
    <t>Jamindan</t>
  </si>
  <si>
    <t>Mambusao</t>
  </si>
  <si>
    <t>Sapi-an</t>
  </si>
  <si>
    <t>Sigma</t>
  </si>
  <si>
    <t>Tapaz</t>
  </si>
  <si>
    <t>GUIMARAS</t>
  </si>
  <si>
    <t>San Lorenzo</t>
  </si>
  <si>
    <t>Nueva Valencia</t>
  </si>
  <si>
    <t>Sibunag</t>
  </si>
  <si>
    <t>ILOILO</t>
  </si>
  <si>
    <t>Guimbal</t>
  </si>
  <si>
    <t>Igbaras</t>
  </si>
  <si>
    <t>Miagao</t>
  </si>
  <si>
    <t>Oton</t>
  </si>
  <si>
    <t>Tigbauan</t>
  </si>
  <si>
    <t>Tubungan</t>
  </si>
  <si>
    <t>Alimodian</t>
  </si>
  <si>
    <t>Leganes</t>
  </si>
  <si>
    <t>Leon</t>
  </si>
  <si>
    <t>New Lucena</t>
  </si>
  <si>
    <t>Pavia</t>
  </si>
  <si>
    <t>Zarraga</t>
  </si>
  <si>
    <t>Badiangan</t>
  </si>
  <si>
    <t>Bingawan</t>
  </si>
  <si>
    <t>Calinog</t>
  </si>
  <si>
    <t>Janiuay</t>
  </si>
  <si>
    <t>Lambunao</t>
  </si>
  <si>
    <t>Maasin</t>
  </si>
  <si>
    <t>Mina</t>
  </si>
  <si>
    <t>Pototan</t>
  </si>
  <si>
    <t>Anilao</t>
  </si>
  <si>
    <t>Banate</t>
  </si>
  <si>
    <t>Barotac Nuevo</t>
  </si>
  <si>
    <t>Dingle</t>
  </si>
  <si>
    <t>Dueñas</t>
  </si>
  <si>
    <t>Dumangas</t>
  </si>
  <si>
    <t>San Enrique</t>
  </si>
  <si>
    <t>City of Passi</t>
  </si>
  <si>
    <t>Ajuy</t>
  </si>
  <si>
    <t>Balasan</t>
  </si>
  <si>
    <t>Barotac Viejo</t>
  </si>
  <si>
    <t>Batad</t>
  </si>
  <si>
    <t>Carles</t>
  </si>
  <si>
    <t>Estancia</t>
  </si>
  <si>
    <t>San Dionisio</t>
  </si>
  <si>
    <t>Sara</t>
  </si>
  <si>
    <t>NEGROS OCCIDENTAL</t>
  </si>
  <si>
    <t>Salvador Benedicto</t>
  </si>
  <si>
    <t>Toboso</t>
  </si>
  <si>
    <t>Manapla</t>
  </si>
  <si>
    <t>Murcia</t>
  </si>
  <si>
    <t>City of Talisay</t>
  </si>
  <si>
    <t>City of Victorias</t>
  </si>
  <si>
    <t>Pulupandan</t>
  </si>
  <si>
    <t>Valladolid</t>
  </si>
  <si>
    <t>Binalbagan</t>
  </si>
  <si>
    <t>Hinigaran</t>
  </si>
  <si>
    <t>Isabela</t>
  </si>
  <si>
    <t>La Castellana</t>
  </si>
  <si>
    <t>Candoni</t>
  </si>
  <si>
    <t>Cauayan</t>
  </si>
  <si>
    <t>Ilog</t>
  </si>
  <si>
    <t>City of Kabankalan</t>
  </si>
  <si>
    <t>REGION  VII</t>
  </si>
  <si>
    <t>BOHOL</t>
  </si>
  <si>
    <t>Alburquerque</t>
  </si>
  <si>
    <t>Antequera</t>
  </si>
  <si>
    <t>Baclayon</t>
  </si>
  <si>
    <t>Balilihan</t>
  </si>
  <si>
    <t>Calape</t>
  </si>
  <si>
    <t>Catigbian</t>
  </si>
  <si>
    <t>Corella</t>
  </si>
  <si>
    <t>Cortes</t>
  </si>
  <si>
    <t>Dauis</t>
  </si>
  <si>
    <t>Loon</t>
  </si>
  <si>
    <t>Maribojoc</t>
  </si>
  <si>
    <t>Panglao</t>
  </si>
  <si>
    <t>Sikatuna</t>
  </si>
  <si>
    <t>Tubigon</t>
  </si>
  <si>
    <t>Bien Unido</t>
  </si>
  <si>
    <t>Clarin</t>
  </si>
  <si>
    <t>Dagohoy</t>
  </si>
  <si>
    <t>Danao</t>
  </si>
  <si>
    <t>Inabanga</t>
  </si>
  <si>
    <t>Talibon</t>
  </si>
  <si>
    <t>Trinidad</t>
  </si>
  <si>
    <t>Ubay</t>
  </si>
  <si>
    <t>Bilar</t>
  </si>
  <si>
    <t>Candijay</t>
  </si>
  <si>
    <t>Carmen</t>
  </si>
  <si>
    <t>Dimiao</t>
  </si>
  <si>
    <t>Duero</t>
  </si>
  <si>
    <t>Garcia Hernandez</t>
  </si>
  <si>
    <t>Guindulman</t>
  </si>
  <si>
    <t>Jagna</t>
  </si>
  <si>
    <t>Lila</t>
  </si>
  <si>
    <t>Loay</t>
  </si>
  <si>
    <t>Loboc</t>
  </si>
  <si>
    <t>Sevilla</t>
  </si>
  <si>
    <t>Sierra Bullones</t>
  </si>
  <si>
    <t>Valencia</t>
  </si>
  <si>
    <t>C E B U</t>
  </si>
  <si>
    <t>Minglanilla</t>
  </si>
  <si>
    <t>Sibonga</t>
  </si>
  <si>
    <t>Alcoy</t>
  </si>
  <si>
    <t>Alegria</t>
  </si>
  <si>
    <t>Argao</t>
  </si>
  <si>
    <t>Badian</t>
  </si>
  <si>
    <t>Boljoon</t>
  </si>
  <si>
    <t>Dalaguete</t>
  </si>
  <si>
    <t>Dumanjug</t>
  </si>
  <si>
    <t>Ginatilan</t>
  </si>
  <si>
    <t>Malabuyoc</t>
  </si>
  <si>
    <t>Moalboal</t>
  </si>
  <si>
    <t>Oslob</t>
  </si>
  <si>
    <t>Ronda</t>
  </si>
  <si>
    <t>Samboan</t>
  </si>
  <si>
    <t>Santander</t>
  </si>
  <si>
    <t>Aloguinsan</t>
  </si>
  <si>
    <t>Asturias</t>
  </si>
  <si>
    <t>Balamban</t>
  </si>
  <si>
    <t>Barili</t>
  </si>
  <si>
    <t>Pinamungajan</t>
  </si>
  <si>
    <t>Tuburan</t>
  </si>
  <si>
    <t>Bantayan</t>
  </si>
  <si>
    <t>Daanbantayan</t>
  </si>
  <si>
    <t>Madridejos</t>
  </si>
  <si>
    <t>Medellin</t>
  </si>
  <si>
    <t>Tabogon</t>
  </si>
  <si>
    <t>Tabuelan</t>
  </si>
  <si>
    <t>Borbon</t>
  </si>
  <si>
    <t>Catmon</t>
  </si>
  <si>
    <t>Compostela</t>
  </si>
  <si>
    <t>Liloan</t>
  </si>
  <si>
    <t>Poro</t>
  </si>
  <si>
    <t>San Francisco</t>
  </si>
  <si>
    <t>Sogod</t>
  </si>
  <si>
    <t>Tudela</t>
  </si>
  <si>
    <t>Consolacion</t>
  </si>
  <si>
    <t>Cordova</t>
  </si>
  <si>
    <t>Two Legislative Districts</t>
  </si>
  <si>
    <t>NEGROS ORIENTAL</t>
  </si>
  <si>
    <t>Ayungon</t>
  </si>
  <si>
    <t>Jimalalud</t>
  </si>
  <si>
    <t>La Libertad</t>
  </si>
  <si>
    <t>Manjuyod</t>
  </si>
  <si>
    <t>Tayasan</t>
  </si>
  <si>
    <t>Vallehermoso</t>
  </si>
  <si>
    <t>Mabinay</t>
  </si>
  <si>
    <t>Sibulan</t>
  </si>
  <si>
    <t>Bacong</t>
  </si>
  <si>
    <t>Basay</t>
  </si>
  <si>
    <t>Dauin</t>
  </si>
  <si>
    <t>Siaton</t>
  </si>
  <si>
    <t>Zamboanguita</t>
  </si>
  <si>
    <t>SIQUIJOR</t>
  </si>
  <si>
    <t>Enrique Villanueva</t>
  </si>
  <si>
    <t>Larena</t>
  </si>
  <si>
    <t>Lazi</t>
  </si>
  <si>
    <t>Maria</t>
  </si>
  <si>
    <t>REGION  VIII</t>
  </si>
  <si>
    <t>BILIRAN</t>
  </si>
  <si>
    <t>Almeria</t>
  </si>
  <si>
    <t>Kawayan</t>
  </si>
  <si>
    <t>Biliran</t>
  </si>
  <si>
    <t>Cabucgayan</t>
  </si>
  <si>
    <t>Caibiran</t>
  </si>
  <si>
    <t>Culaba</t>
  </si>
  <si>
    <t>Maripipi</t>
  </si>
  <si>
    <t>EASTERN SAMAR</t>
  </si>
  <si>
    <t>Arteche</t>
  </si>
  <si>
    <t>Can-Avid</t>
  </si>
  <si>
    <t>Jipapad</t>
  </si>
  <si>
    <t>Maslog</t>
  </si>
  <si>
    <t>Oras</t>
  </si>
  <si>
    <t>San Julian</t>
  </si>
  <si>
    <t>Sulat</t>
  </si>
  <si>
    <t>Taft</t>
  </si>
  <si>
    <t>Balangiga</t>
  </si>
  <si>
    <t>Balangkayan</t>
  </si>
  <si>
    <t>General MacArthur</t>
  </si>
  <si>
    <t>Giporlos</t>
  </si>
  <si>
    <t>Guiuan</t>
  </si>
  <si>
    <t>Hernani</t>
  </si>
  <si>
    <t>Lawaan</t>
  </si>
  <si>
    <t>Llorente</t>
  </si>
  <si>
    <t>Maydolong</t>
  </si>
  <si>
    <t>Quinapondan</t>
  </si>
  <si>
    <t>Salcedo</t>
  </si>
  <si>
    <t>LEYTE</t>
  </si>
  <si>
    <t>Alangalang</t>
  </si>
  <si>
    <t>Babatngon</t>
  </si>
  <si>
    <t>Palo</t>
  </si>
  <si>
    <t>Tanauan</t>
  </si>
  <si>
    <t>Tolosa</t>
  </si>
  <si>
    <t>Barugo</t>
  </si>
  <si>
    <t>Burauen</t>
  </si>
  <si>
    <t>Capoocan</t>
  </si>
  <si>
    <t>Carigara</t>
  </si>
  <si>
    <t>Dagami</t>
  </si>
  <si>
    <t>Dulag</t>
  </si>
  <si>
    <t>Jaro</t>
  </si>
  <si>
    <t>Julita</t>
  </si>
  <si>
    <t>MacArthur</t>
  </si>
  <si>
    <t>Mayorga</t>
  </si>
  <si>
    <t>Pastrana</t>
  </si>
  <si>
    <t>Tabontabon</t>
  </si>
  <si>
    <t>Tunga</t>
  </si>
  <si>
    <t>Calubian</t>
  </si>
  <si>
    <t>Leyte</t>
  </si>
  <si>
    <t>Tabango</t>
  </si>
  <si>
    <t>Villaba</t>
  </si>
  <si>
    <t>Albuera</t>
  </si>
  <si>
    <t>Isabel</t>
  </si>
  <si>
    <t>Kananga</t>
  </si>
  <si>
    <t>Matag-ob</t>
  </si>
  <si>
    <t>Palompon</t>
  </si>
  <si>
    <t>Abuyog</t>
  </si>
  <si>
    <t>Hilongos</t>
  </si>
  <si>
    <t>Hindang</t>
  </si>
  <si>
    <t>Inopacan</t>
  </si>
  <si>
    <t>Mahaplag</t>
  </si>
  <si>
    <t>Matalom</t>
  </si>
  <si>
    <t>NORTHERN SAMAR</t>
  </si>
  <si>
    <t>Allen</t>
  </si>
  <si>
    <t>Biri</t>
  </si>
  <si>
    <t>Bobon</t>
  </si>
  <si>
    <t>Lavezares</t>
  </si>
  <si>
    <t>Lope de Vega</t>
  </si>
  <si>
    <t>Mondragon</t>
  </si>
  <si>
    <t>Catubig</t>
  </si>
  <si>
    <t>Lapinig</t>
  </si>
  <si>
    <t>Las Navas</t>
  </si>
  <si>
    <t>Mapanas</t>
  </si>
  <si>
    <t>Palapag</t>
  </si>
  <si>
    <t>Pambujan</t>
  </si>
  <si>
    <t>San Roque</t>
  </si>
  <si>
    <t>SAMAR</t>
  </si>
  <si>
    <t>Santo Niño</t>
  </si>
  <si>
    <t>SOUTHERN LEYTE</t>
  </si>
  <si>
    <t>Bontoc</t>
  </si>
  <si>
    <t>Limasawa</t>
  </si>
  <si>
    <t>Macrohon</t>
  </si>
  <si>
    <t>Malitbog</t>
  </si>
  <si>
    <t>Tomas Oppus</t>
  </si>
  <si>
    <t>Anahawan</t>
  </si>
  <si>
    <t>Hinunangan</t>
  </si>
  <si>
    <t>Hinundayan</t>
  </si>
  <si>
    <t>Pintuyan</t>
  </si>
  <si>
    <t>Saint Bernard</t>
  </si>
  <si>
    <t>San Ricardo</t>
  </si>
  <si>
    <t>Silago</t>
  </si>
  <si>
    <t>REGION  IX</t>
  </si>
  <si>
    <t>ZAMBOANGA DEL NORTE</t>
  </si>
  <si>
    <t>Mutia</t>
  </si>
  <si>
    <t>Polanco</t>
  </si>
  <si>
    <t>Sergio Osmeña, Sr.</t>
  </si>
  <si>
    <t>Sibutad</t>
  </si>
  <si>
    <t>Katipunan</t>
  </si>
  <si>
    <t>Manukan</t>
  </si>
  <si>
    <t>Pres. Manuel A. Roxas</t>
  </si>
  <si>
    <t>Siayan</t>
  </si>
  <si>
    <t>Sindangan</t>
  </si>
  <si>
    <t>Baliguian</t>
  </si>
  <si>
    <t>Godod</t>
  </si>
  <si>
    <t>Gutalac</t>
  </si>
  <si>
    <t>Kalawit</t>
  </si>
  <si>
    <t>Labason</t>
  </si>
  <si>
    <t>Liloy</t>
  </si>
  <si>
    <t>Salug</t>
  </si>
  <si>
    <t>Sibuco</t>
  </si>
  <si>
    <t>Siocon</t>
  </si>
  <si>
    <t>Sirawai</t>
  </si>
  <si>
    <t>Tampilisan</t>
  </si>
  <si>
    <t>ZAMBOANGA DEL SUR</t>
  </si>
  <si>
    <t>Dumingag</t>
  </si>
  <si>
    <t>Josefina</t>
  </si>
  <si>
    <t>Labangan</t>
  </si>
  <si>
    <t>Mahayag</t>
  </si>
  <si>
    <t>Midsalip</t>
  </si>
  <si>
    <t>Molave</t>
  </si>
  <si>
    <t>Tambulig</t>
  </si>
  <si>
    <t>Tukuran</t>
  </si>
  <si>
    <t>Bayog</t>
  </si>
  <si>
    <t>Dimataling</t>
  </si>
  <si>
    <t>Dinas</t>
  </si>
  <si>
    <t>Dumalinao</t>
  </si>
  <si>
    <t>Guipos</t>
  </si>
  <si>
    <t>Kumalarang</t>
  </si>
  <si>
    <t>Lakewood</t>
  </si>
  <si>
    <t>Lapuyan</t>
  </si>
  <si>
    <t>Margosatubig</t>
  </si>
  <si>
    <t>Tabina</t>
  </si>
  <si>
    <t>Vincenzo A. Sagun</t>
  </si>
  <si>
    <t>ZAMBOANGA SIBUGAY</t>
  </si>
  <si>
    <t>Buug</t>
  </si>
  <si>
    <t>Diplahan</t>
  </si>
  <si>
    <t>Imelda</t>
  </si>
  <si>
    <t>Mabuhay</t>
  </si>
  <si>
    <t>Malangas</t>
  </si>
  <si>
    <t>Olutanga</t>
  </si>
  <si>
    <t>Payao</t>
  </si>
  <si>
    <t>Kabasalan</t>
  </si>
  <si>
    <t>Naga</t>
  </si>
  <si>
    <t>Roseller T. Lim</t>
  </si>
  <si>
    <t>Siay</t>
  </si>
  <si>
    <t>Titay</t>
  </si>
  <si>
    <t>REGION  X</t>
  </si>
  <si>
    <t>BUKIDNON</t>
  </si>
  <si>
    <t>Baungon</t>
  </si>
  <si>
    <t>Libona</t>
  </si>
  <si>
    <t>Manolo Fortich</t>
  </si>
  <si>
    <t>Sumilao</t>
  </si>
  <si>
    <t>Talakag</t>
  </si>
  <si>
    <t>Cabanglasan</t>
  </si>
  <si>
    <t>Impasug-ong</t>
  </si>
  <si>
    <t>Lantapan</t>
  </si>
  <si>
    <t>Damulog</t>
  </si>
  <si>
    <t>Dangcagan</t>
  </si>
  <si>
    <t>Don Carlos</t>
  </si>
  <si>
    <t>Kadingilan</t>
  </si>
  <si>
    <t>Kibawe</t>
  </si>
  <si>
    <t>Kitaotao</t>
  </si>
  <si>
    <t>Maramag</t>
  </si>
  <si>
    <t>Kalilangan</t>
  </si>
  <si>
    <t>Pangantucan</t>
  </si>
  <si>
    <t>CAMIGUIN</t>
  </si>
  <si>
    <t>Mahinog</t>
  </si>
  <si>
    <t>Catarman</t>
  </si>
  <si>
    <t>Guinsiliban</t>
  </si>
  <si>
    <t>Sagay</t>
  </si>
  <si>
    <t>LANAO DEL NORTE</t>
  </si>
  <si>
    <t>Bacolod</t>
  </si>
  <si>
    <t>Baloi</t>
  </si>
  <si>
    <t>Baroy</t>
  </si>
  <si>
    <t>Kauswagan</t>
  </si>
  <si>
    <t>Kolambugan</t>
  </si>
  <si>
    <t>Linamon</t>
  </si>
  <si>
    <t>Maigo</t>
  </si>
  <si>
    <t>Matungao</t>
  </si>
  <si>
    <t>Pantar</t>
  </si>
  <si>
    <t>Tagoloan</t>
  </si>
  <si>
    <t>Kapatagan</t>
  </si>
  <si>
    <t>Lala</t>
  </si>
  <si>
    <t>Munai</t>
  </si>
  <si>
    <t>Nunungan</t>
  </si>
  <si>
    <t>Pantao Ragat</t>
  </si>
  <si>
    <t>Poona Piagapo</t>
  </si>
  <si>
    <t>Salvador</t>
  </si>
  <si>
    <t>Sapad</t>
  </si>
  <si>
    <t>Tangcal</t>
  </si>
  <si>
    <t>MISAMIS OCCIDENTAL</t>
  </si>
  <si>
    <t>Aloran</t>
  </si>
  <si>
    <t>Baliangao</t>
  </si>
  <si>
    <t>Calamba</t>
  </si>
  <si>
    <t>Jimenez</t>
  </si>
  <si>
    <t>Lopez Jaena</t>
  </si>
  <si>
    <t>Panaon</t>
  </si>
  <si>
    <t>Sapang Dalaga</t>
  </si>
  <si>
    <t>Bonifacio</t>
  </si>
  <si>
    <t>Sinacaban</t>
  </si>
  <si>
    <t>MISAMIS ORIENTAL</t>
  </si>
  <si>
    <t>Balingasag</t>
  </si>
  <si>
    <t>Balingoan</t>
  </si>
  <si>
    <t>Binuangan</t>
  </si>
  <si>
    <t>Kinoguitan</t>
  </si>
  <si>
    <t>Lagonglong</t>
  </si>
  <si>
    <t>Medina</t>
  </si>
  <si>
    <t>Salay</t>
  </si>
  <si>
    <t>Sugbongcogon</t>
  </si>
  <si>
    <t>Talisayan</t>
  </si>
  <si>
    <t>Alubijid</t>
  </si>
  <si>
    <t>Gitagum</t>
  </si>
  <si>
    <t>Initao</t>
  </si>
  <si>
    <t>Jasaan</t>
  </si>
  <si>
    <t>Laguindingan</t>
  </si>
  <si>
    <t>Lugait</t>
  </si>
  <si>
    <t>Manticao</t>
  </si>
  <si>
    <t>Naawan</t>
  </si>
  <si>
    <t>Opol</t>
  </si>
  <si>
    <t>Villanueva</t>
  </si>
  <si>
    <t>REGION XI</t>
  </si>
  <si>
    <t>Monkayo</t>
  </si>
  <si>
    <t>Montevista</t>
  </si>
  <si>
    <t>New Bataan</t>
  </si>
  <si>
    <t>Maco</t>
  </si>
  <si>
    <t>Mawab</t>
  </si>
  <si>
    <t>Pantukan</t>
  </si>
  <si>
    <t>DAVAO DEL NORTE</t>
  </si>
  <si>
    <t>Kapalong</t>
  </si>
  <si>
    <t>New Corella</t>
  </si>
  <si>
    <t>Talaingod</t>
  </si>
  <si>
    <t>Braulio E. Dujali</t>
  </si>
  <si>
    <t>Island Garden City of Samal</t>
  </si>
  <si>
    <t>(Babak District)</t>
  </si>
  <si>
    <t>(Kaputian District)</t>
  </si>
  <si>
    <t>(Samal District)</t>
  </si>
  <si>
    <t>DAVAO DEL SUR</t>
  </si>
  <si>
    <t>Bansalan</t>
  </si>
  <si>
    <t>Matanao</t>
  </si>
  <si>
    <t>Padada</t>
  </si>
  <si>
    <t>Don Marcelino</t>
  </si>
  <si>
    <t>Kiblawan</t>
  </si>
  <si>
    <t>Malalag</t>
  </si>
  <si>
    <t>Malita</t>
  </si>
  <si>
    <t>Sulop</t>
  </si>
  <si>
    <t>Three Legislative Districts</t>
  </si>
  <si>
    <t>DAVAO ORIENTAL</t>
  </si>
  <si>
    <t>Baganga</t>
  </si>
  <si>
    <t>Boston</t>
  </si>
  <si>
    <t>Caraga</t>
  </si>
  <si>
    <t>Cateel</t>
  </si>
  <si>
    <t>Manay</t>
  </si>
  <si>
    <t>Tarragona</t>
  </si>
  <si>
    <t>Banaybanay</t>
  </si>
  <si>
    <t>Governor Generoso</t>
  </si>
  <si>
    <t>Lupon</t>
  </si>
  <si>
    <t>REGION  XII</t>
  </si>
  <si>
    <t>Alamada</t>
  </si>
  <si>
    <t>Aleosan</t>
  </si>
  <si>
    <t>Libungan</t>
  </si>
  <si>
    <t>Midsayap</t>
  </si>
  <si>
    <t>Pigkawayan</t>
  </si>
  <si>
    <t>Pikit</t>
  </si>
  <si>
    <t>Antipas</t>
  </si>
  <si>
    <t>Arakan</t>
  </si>
  <si>
    <t>Magpet</t>
  </si>
  <si>
    <t>Makilala</t>
  </si>
  <si>
    <t>Banisilan</t>
  </si>
  <si>
    <t>Kabacan</t>
  </si>
  <si>
    <t>Matalam</t>
  </si>
  <si>
    <t>M'lang</t>
  </si>
  <si>
    <t>Tulunan</t>
  </si>
  <si>
    <t>SARANGANI</t>
  </si>
  <si>
    <t>Maasim</t>
  </si>
  <si>
    <t>Glan</t>
  </si>
  <si>
    <t>Malapatan</t>
  </si>
  <si>
    <t>Malungon</t>
  </si>
  <si>
    <t>SOUTH COTABATO</t>
  </si>
  <si>
    <t>Polomolok</t>
  </si>
  <si>
    <t>Tupi</t>
  </si>
  <si>
    <t>Lake Sebu</t>
  </si>
  <si>
    <t>Surallah</t>
  </si>
  <si>
    <t>Tantangan</t>
  </si>
  <si>
    <t>T'boli</t>
  </si>
  <si>
    <t>SULTAN KUDARAT</t>
  </si>
  <si>
    <t>Columbio</t>
  </si>
  <si>
    <t>President Quirino</t>
  </si>
  <si>
    <t>Kalamansig</t>
  </si>
  <si>
    <t>Lebak</t>
  </si>
  <si>
    <t>CARAGA</t>
  </si>
  <si>
    <t>AGUSAN DEL NORTE</t>
  </si>
  <si>
    <t>Las Nieves</t>
  </si>
  <si>
    <t>Jabonga</t>
  </si>
  <si>
    <t>Kitcharao</t>
  </si>
  <si>
    <t>Nasipit</t>
  </si>
  <si>
    <t>Remedios T. Romualdez</t>
  </si>
  <si>
    <t>Tubay</t>
  </si>
  <si>
    <t>AGUSAN DEL SUR</t>
  </si>
  <si>
    <t>Sibagat</t>
  </si>
  <si>
    <t>Talacogon</t>
  </si>
  <si>
    <t>Bunawan</t>
  </si>
  <si>
    <t>Loreto</t>
  </si>
  <si>
    <t>Santa Josefa</t>
  </si>
  <si>
    <t>Trento</t>
  </si>
  <si>
    <t>Veruela</t>
  </si>
  <si>
    <t>DINAGAT ISLANDS</t>
  </si>
  <si>
    <t>Tubajon</t>
  </si>
  <si>
    <t>Cagdianao</t>
  </si>
  <si>
    <t>Dinagat</t>
  </si>
  <si>
    <t>SURIGAO DEL NORTE</t>
  </si>
  <si>
    <t>Dapa</t>
  </si>
  <si>
    <t>Del Carmen</t>
  </si>
  <si>
    <t>San Benito</t>
  </si>
  <si>
    <t>Bacuag</t>
  </si>
  <si>
    <t>Claver</t>
  </si>
  <si>
    <t>Gigaquit</t>
  </si>
  <si>
    <t>Mainit</t>
  </si>
  <si>
    <t>Malimono</t>
  </si>
  <si>
    <t>Tagana-an</t>
  </si>
  <si>
    <t>Tubod</t>
  </si>
  <si>
    <t>SURIGAO DEL SUR</t>
  </si>
  <si>
    <t>Bayabas</t>
  </si>
  <si>
    <t>Cagwait</t>
  </si>
  <si>
    <t>Cantilan</t>
  </si>
  <si>
    <t>Carrascal</t>
  </si>
  <si>
    <t>Lanuza</t>
  </si>
  <si>
    <t>Lianga</t>
  </si>
  <si>
    <t>Madrid</t>
  </si>
  <si>
    <t>Marihatag</t>
  </si>
  <si>
    <t>Tago</t>
  </si>
  <si>
    <t>Barobo</t>
  </si>
  <si>
    <t>Hinatuan</t>
  </si>
  <si>
    <t>Lingig</t>
  </si>
  <si>
    <t>Tagbina</t>
  </si>
  <si>
    <t>BASILAN</t>
  </si>
  <si>
    <t>Lone Legistative District</t>
  </si>
  <si>
    <t>Hadji Muhtamad</t>
  </si>
  <si>
    <t>Lantawan</t>
  </si>
  <si>
    <t>Maluso</t>
  </si>
  <si>
    <t>Akbar</t>
  </si>
  <si>
    <t>Al-Barka</t>
  </si>
  <si>
    <t>Hadji Mohammad Ajul</t>
  </si>
  <si>
    <t>Sumisip</t>
  </si>
  <si>
    <t>Tabuan-Lasa</t>
  </si>
  <si>
    <t>Tipo- Tipo</t>
  </si>
  <si>
    <t>Ungkaya Pukan</t>
  </si>
  <si>
    <t>LANAO DEL SUR</t>
  </si>
  <si>
    <t>Buadiposo-Buntong</t>
  </si>
  <si>
    <t>Bubong</t>
  </si>
  <si>
    <t>Ditsaan-Ramain</t>
  </si>
  <si>
    <t>Kapai</t>
  </si>
  <si>
    <t>Lumba-Bayabao</t>
  </si>
  <si>
    <t>Marantao</t>
  </si>
  <si>
    <t>Masiu</t>
  </si>
  <si>
    <t>Mulondo</t>
  </si>
  <si>
    <t>Piagapo</t>
  </si>
  <si>
    <t>Saguiaran</t>
  </si>
  <si>
    <t>Tamparan</t>
  </si>
  <si>
    <t>Wao</t>
  </si>
  <si>
    <t>Balabagan</t>
  </si>
  <si>
    <t>Bayang</t>
  </si>
  <si>
    <t>Binidayan</t>
  </si>
  <si>
    <t>Calanogas</t>
  </si>
  <si>
    <t>Ganassi</t>
  </si>
  <si>
    <t>Lumbaca Unayan</t>
  </si>
  <si>
    <t>Lumbatan</t>
  </si>
  <si>
    <t>Lumbayanague</t>
  </si>
  <si>
    <t>Madalum</t>
  </si>
  <si>
    <t>Madamba</t>
  </si>
  <si>
    <t>Malabang</t>
  </si>
  <si>
    <t>Pualas</t>
  </si>
  <si>
    <t>Sultan Dumalondong</t>
  </si>
  <si>
    <t>Tubaran</t>
  </si>
  <si>
    <t>Tugaya</t>
  </si>
  <si>
    <t>Barira</t>
  </si>
  <si>
    <t>Buldon</t>
  </si>
  <si>
    <t>Datu Blah T. Sinsuat</t>
  </si>
  <si>
    <t>Northern Kabuntalan</t>
  </si>
  <si>
    <t>Parang</t>
  </si>
  <si>
    <t>Sultan Mastura</t>
  </si>
  <si>
    <t>Upi</t>
  </si>
  <si>
    <t>Ampatuan</t>
  </si>
  <si>
    <t>Buluan</t>
  </si>
  <si>
    <t>Datu Abdullah Sangki</t>
  </si>
  <si>
    <t>Datu Anggal Midtimbang</t>
  </si>
  <si>
    <t>Datu Saudi Ampatuan</t>
  </si>
  <si>
    <t>Datu Unsay</t>
  </si>
  <si>
    <t>Guindulungan</t>
  </si>
  <si>
    <t>Mangudadatu</t>
  </si>
  <si>
    <t>Pagagawan</t>
  </si>
  <si>
    <t>Paglat</t>
  </si>
  <si>
    <t>Pandag</t>
  </si>
  <si>
    <t>Rajah Buayan</t>
  </si>
  <si>
    <t>South Upi</t>
  </si>
  <si>
    <t>Talayan</t>
  </si>
  <si>
    <t>Talitay</t>
  </si>
  <si>
    <t>Datu Salibo</t>
  </si>
  <si>
    <t>Datu Hoffer Ampatuan</t>
  </si>
  <si>
    <t>S U L U</t>
  </si>
  <si>
    <t>Indanan</t>
  </si>
  <si>
    <t>Maimbung</t>
  </si>
  <si>
    <t>Pangutaran</t>
  </si>
  <si>
    <t>Patikul</t>
  </si>
  <si>
    <t>Talipao</t>
  </si>
  <si>
    <t>Kalingalan Caluang</t>
  </si>
  <si>
    <t>Lugus</t>
  </si>
  <si>
    <t>Luuk</t>
  </si>
  <si>
    <t>Old Panamao</t>
  </si>
  <si>
    <t>Omar</t>
  </si>
  <si>
    <t>Pandami</t>
  </si>
  <si>
    <t>Pata</t>
  </si>
  <si>
    <t>Siasi</t>
  </si>
  <si>
    <t>Tapul</t>
  </si>
  <si>
    <t>Tongkil</t>
  </si>
  <si>
    <t>TAWI-TAWI</t>
  </si>
  <si>
    <t>Sibutu</t>
  </si>
  <si>
    <t>Simunul</t>
  </si>
  <si>
    <t>Sitangkai</t>
  </si>
  <si>
    <t>Turtle Islands</t>
  </si>
  <si>
    <t>Languyan</t>
  </si>
  <si>
    <t>Sapa-Sapa</t>
  </si>
  <si>
    <t>South Ubian</t>
  </si>
  <si>
    <t>Tandubas</t>
  </si>
  <si>
    <t xml:space="preserve">Marogong </t>
  </si>
  <si>
    <t>DAVAO OCCIDENTAL</t>
  </si>
  <si>
    <t>City of San Pedro</t>
  </si>
  <si>
    <t xml:space="preserve">Lumban </t>
  </si>
  <si>
    <t xml:space="preserve">Odiongan </t>
  </si>
  <si>
    <t xml:space="preserve">Santa Fe </t>
  </si>
  <si>
    <t xml:space="preserve">San Joaquin </t>
  </si>
  <si>
    <t xml:space="preserve">San Policarpo </t>
  </si>
  <si>
    <t xml:space="preserve">Merida </t>
  </si>
  <si>
    <t xml:space="preserve">Capul </t>
  </si>
  <si>
    <t xml:space="preserve">Gamay </t>
  </si>
  <si>
    <t xml:space="preserve">Laoang </t>
  </si>
  <si>
    <t xml:space="preserve">Silvino Lobos </t>
  </si>
  <si>
    <t xml:space="preserve">Liloan </t>
  </si>
  <si>
    <t xml:space="preserve">Rizal </t>
  </si>
  <si>
    <t xml:space="preserve">Tigbao </t>
  </si>
  <si>
    <t xml:space="preserve">Talusan </t>
  </si>
  <si>
    <t xml:space="preserve">Tungawan  </t>
  </si>
  <si>
    <t xml:space="preserve">Maguing </t>
  </si>
  <si>
    <t xml:space="preserve">Butig </t>
  </si>
  <si>
    <t xml:space="preserve">Taraka </t>
  </si>
  <si>
    <t>Sarangani</t>
  </si>
  <si>
    <t>General Mariano Alvarez</t>
  </si>
  <si>
    <t>Rosales</t>
  </si>
  <si>
    <t>Libagon</t>
  </si>
  <si>
    <t>Siruma</t>
  </si>
  <si>
    <t>Tampakan</t>
  </si>
  <si>
    <t>Maitum</t>
  </si>
  <si>
    <t>Basey</t>
  </si>
  <si>
    <t>Norala</t>
  </si>
  <si>
    <t>Dinalupihan</t>
  </si>
  <si>
    <t>Nabua</t>
  </si>
  <si>
    <t>Balatan</t>
  </si>
  <si>
    <t>Buhi</t>
  </si>
  <si>
    <t>Almagro</t>
  </si>
  <si>
    <t>Gandara</t>
  </si>
  <si>
    <t>Matuguinao</t>
  </si>
  <si>
    <t>Pagsanghan</t>
  </si>
  <si>
    <t>San Jorge</t>
  </si>
  <si>
    <t>Santa Margarita</t>
  </si>
  <si>
    <t>Tagapul-an</t>
  </si>
  <si>
    <t>Tarangnan</t>
  </si>
  <si>
    <t>Calbiga</t>
  </si>
  <si>
    <t>Daram</t>
  </si>
  <si>
    <t>Hinabangan</t>
  </si>
  <si>
    <t>Jiabong</t>
  </si>
  <si>
    <t>Marabut</t>
  </si>
  <si>
    <t>Motiong</t>
  </si>
  <si>
    <t>Pinabacdao</t>
  </si>
  <si>
    <t>San Jose de Buan</t>
  </si>
  <si>
    <t>San Sebastian</t>
  </si>
  <si>
    <t>Talalora</t>
  </si>
  <si>
    <t>Villareal</t>
  </si>
  <si>
    <t>Zumarraga</t>
  </si>
  <si>
    <t xml:space="preserve">Jovellar </t>
  </si>
  <si>
    <t xml:space="preserve">Bato </t>
  </si>
  <si>
    <t xml:space="preserve">Casiguran </t>
  </si>
  <si>
    <t xml:space="preserve">Kiamba </t>
  </si>
  <si>
    <t xml:space="preserve">Lutayan </t>
  </si>
  <si>
    <t xml:space="preserve">Bagumbayan </t>
  </si>
  <si>
    <t xml:space="preserve">Palimbang </t>
  </si>
  <si>
    <t xml:space="preserve">Sen. Ninoy Aquino </t>
  </si>
  <si>
    <t xml:space="preserve">NUMBER OF REGISTERED VOTERS               </t>
  </si>
  <si>
    <t>REGION/PROVINCE</t>
  </si>
  <si>
    <t>1st Councilor District</t>
  </si>
  <si>
    <t>2nd Councilor District</t>
  </si>
  <si>
    <t>NUMBER AND TURN-OUT OF REGISTERED VOTERS AND VOTERS WHO ACTUALLY VOTED BY PROVINCE</t>
  </si>
  <si>
    <t>NUMBER AND TURN-OUT OF REGISTERED VOTERS AND VOTERS WHO ACTUALLY VOTED BY CITY/MUNICIPALITY</t>
  </si>
  <si>
    <t>8th Legislative District</t>
  </si>
  <si>
    <t>VOTER'S TURNOUT</t>
  </si>
  <si>
    <t>B.A.R.M.M.</t>
  </si>
  <si>
    <t>COMMISSION ON ELECTIONS</t>
  </si>
  <si>
    <t>NUMBER OF CLUSTERED PRECINCTS</t>
  </si>
  <si>
    <t>REGION</t>
  </si>
  <si>
    <t>NUMBER AND TURN-OUT OF REGISTERED VOTERS AND VOTERS WHO ACTUALLY VOTED BY REGION</t>
  </si>
  <si>
    <t xml:space="preserve">City of Caloocan </t>
  </si>
  <si>
    <t xml:space="preserve">City of Las Piñas </t>
  </si>
  <si>
    <t>City of Mandaluyong</t>
  </si>
  <si>
    <t xml:space="preserve">City of Muntinlupa </t>
  </si>
  <si>
    <t xml:space="preserve">City of Malabon </t>
  </si>
  <si>
    <t xml:space="preserve">City of Navotas </t>
  </si>
  <si>
    <t>City of San Juan</t>
  </si>
  <si>
    <t xml:space="preserve">City of Taguig </t>
  </si>
  <si>
    <t xml:space="preserve">City of Baguio </t>
  </si>
  <si>
    <t xml:space="preserve">City of Tabuk </t>
  </si>
  <si>
    <t xml:space="preserve">City of Laoag </t>
  </si>
  <si>
    <t>City of Batac</t>
  </si>
  <si>
    <t xml:space="preserve">City of Vigan </t>
  </si>
  <si>
    <t>City of Candon</t>
  </si>
  <si>
    <t xml:space="preserve">City of San Fernando </t>
  </si>
  <si>
    <t xml:space="preserve">City of Alaminos </t>
  </si>
  <si>
    <t>City of Dagupan</t>
  </si>
  <si>
    <t xml:space="preserve">Santo Niño </t>
  </si>
  <si>
    <t xml:space="preserve">Delfin Albano </t>
  </si>
  <si>
    <t>City of Ilagan</t>
  </si>
  <si>
    <t xml:space="preserve">Bangued </t>
  </si>
  <si>
    <t xml:space="preserve">Licuan-Baay </t>
  </si>
  <si>
    <t xml:space="preserve">Calanasan </t>
  </si>
  <si>
    <t xml:space="preserve">Kabugao </t>
  </si>
  <si>
    <t xml:space="preserve">La Trinidad </t>
  </si>
  <si>
    <t xml:space="preserve">Bontoc  </t>
  </si>
  <si>
    <t xml:space="preserve">Lingayen </t>
  </si>
  <si>
    <t>City of San Carlos</t>
  </si>
  <si>
    <t xml:space="preserve">Basco </t>
  </si>
  <si>
    <t>City of Cauayan</t>
  </si>
  <si>
    <t xml:space="preserve">Bayombong </t>
  </si>
  <si>
    <t xml:space="preserve">Cabarroguis </t>
  </si>
  <si>
    <t xml:space="preserve">Baler </t>
  </si>
  <si>
    <t>City of Balanga</t>
  </si>
  <si>
    <t>City of Malolos</t>
  </si>
  <si>
    <t xml:space="preserve">Balagtas </t>
  </si>
  <si>
    <t xml:space="preserve">City of San Jose del Monte </t>
  </si>
  <si>
    <t xml:space="preserve">City of Cabanatuan </t>
  </si>
  <si>
    <t xml:space="preserve">City of Palayan </t>
  </si>
  <si>
    <t xml:space="preserve">General Tinio </t>
  </si>
  <si>
    <t xml:space="preserve">City of Gapan </t>
  </si>
  <si>
    <t xml:space="preserve">City of Angeles </t>
  </si>
  <si>
    <t xml:space="preserve">Sasmuan </t>
  </si>
  <si>
    <t xml:space="preserve">City of Tarlac </t>
  </si>
  <si>
    <t xml:space="preserve">City of Olongapo </t>
  </si>
  <si>
    <t xml:space="preserve">Iba </t>
  </si>
  <si>
    <t>City of Tanauan</t>
  </si>
  <si>
    <t xml:space="preserve">City of Lipa </t>
  </si>
  <si>
    <t>City of Cavite</t>
  </si>
  <si>
    <t xml:space="preserve">City of Bacoor </t>
  </si>
  <si>
    <t xml:space="preserve">City of Imus </t>
  </si>
  <si>
    <t xml:space="preserve">City of Dasmariñas  </t>
  </si>
  <si>
    <t xml:space="preserve">City of General Trias </t>
  </si>
  <si>
    <t xml:space="preserve">City of Trece Martires </t>
  </si>
  <si>
    <t>Mendez</t>
  </si>
  <si>
    <t xml:space="preserve">City of Tagaytay </t>
  </si>
  <si>
    <t xml:space="preserve">City of Santa Rosa </t>
  </si>
  <si>
    <t xml:space="preserve">City of Cabuyao </t>
  </si>
  <si>
    <t xml:space="preserve">City of San Pablo </t>
  </si>
  <si>
    <t>City of Biñan</t>
  </si>
  <si>
    <t xml:space="preserve">City of Calamba </t>
  </si>
  <si>
    <t xml:space="preserve">City of Tayabas </t>
  </si>
  <si>
    <t xml:space="preserve">City of Lucena </t>
  </si>
  <si>
    <t xml:space="preserve">San Francisco </t>
  </si>
  <si>
    <t xml:space="preserve">Rodriguez </t>
  </si>
  <si>
    <t>City of Antipolo</t>
  </si>
  <si>
    <t xml:space="preserve">Boac </t>
  </si>
  <si>
    <t xml:space="preserve">Mamburao </t>
  </si>
  <si>
    <t xml:space="preserve">City of Calapan </t>
  </si>
  <si>
    <t xml:space="preserve">Bulalacao </t>
  </si>
  <si>
    <t xml:space="preserve">El Nido </t>
  </si>
  <si>
    <t xml:space="preserve">City of Puerto Princesa </t>
  </si>
  <si>
    <t xml:space="preserve">Romblon </t>
  </si>
  <si>
    <t xml:space="preserve">Santa Maria </t>
  </si>
  <si>
    <t xml:space="preserve">Santo Domingo </t>
  </si>
  <si>
    <t xml:space="preserve">City of Tabaco </t>
  </si>
  <si>
    <t xml:space="preserve">Daraga </t>
  </si>
  <si>
    <t xml:space="preserve">City of Legazpi </t>
  </si>
  <si>
    <t xml:space="preserve">City of Ligao </t>
  </si>
  <si>
    <t xml:space="preserve">Daet </t>
  </si>
  <si>
    <t xml:space="preserve">San Lorenzo Ruiz </t>
  </si>
  <si>
    <t xml:space="preserve">Pili </t>
  </si>
  <si>
    <t xml:space="preserve">City of Naga </t>
  </si>
  <si>
    <t xml:space="preserve">Presentacion </t>
  </si>
  <si>
    <t>City of Iriga</t>
  </si>
  <si>
    <t xml:space="preserve">San Andres </t>
  </si>
  <si>
    <t xml:space="preserve">Virac </t>
  </si>
  <si>
    <t xml:space="preserve">Panganiban </t>
  </si>
  <si>
    <t xml:space="preserve">City of Masbate </t>
  </si>
  <si>
    <t xml:space="preserve">City of Sorsogon </t>
  </si>
  <si>
    <t xml:space="preserve">San Jose </t>
  </si>
  <si>
    <t>Tobias Fornier</t>
  </si>
  <si>
    <t xml:space="preserve">City of Roxas </t>
  </si>
  <si>
    <t xml:space="preserve">Jordan </t>
  </si>
  <si>
    <t xml:space="preserve">City of Iloilo </t>
  </si>
  <si>
    <t xml:space="preserve">City of Escalante </t>
  </si>
  <si>
    <t xml:space="preserve">City of Cadiz </t>
  </si>
  <si>
    <t xml:space="preserve">City of Sagay </t>
  </si>
  <si>
    <t xml:space="preserve">Enrique B. Magalona </t>
  </si>
  <si>
    <t xml:space="preserve">City of Silay </t>
  </si>
  <si>
    <t>City of Bago</t>
  </si>
  <si>
    <t xml:space="preserve">City of La Carlota </t>
  </si>
  <si>
    <t>Moises Padilla</t>
  </si>
  <si>
    <t xml:space="preserve">City of Himamaylan </t>
  </si>
  <si>
    <t xml:space="preserve">Hinoba-an </t>
  </si>
  <si>
    <t xml:space="preserve">City of Sipalay </t>
  </si>
  <si>
    <t xml:space="preserve">City of Bacolod </t>
  </si>
  <si>
    <t xml:space="preserve">City of Tagbilaran </t>
  </si>
  <si>
    <t xml:space="preserve">Sagbayan </t>
  </si>
  <si>
    <t>City of Carcar</t>
  </si>
  <si>
    <t xml:space="preserve">City of Talisay </t>
  </si>
  <si>
    <t xml:space="preserve">City of Toledo </t>
  </si>
  <si>
    <t xml:space="preserve">City of Bogo </t>
  </si>
  <si>
    <t xml:space="preserve">City of Mandaue </t>
  </si>
  <si>
    <t xml:space="preserve">City of Lapu-lapu </t>
  </si>
  <si>
    <t>City of Cebu</t>
  </si>
  <si>
    <t xml:space="preserve">Bindoy </t>
  </si>
  <si>
    <t xml:space="preserve">Amlan </t>
  </si>
  <si>
    <t xml:space="preserve">City of Dumaguete </t>
  </si>
  <si>
    <t xml:space="preserve">City of Bais </t>
  </si>
  <si>
    <t xml:space="preserve">City of Tanjay </t>
  </si>
  <si>
    <t xml:space="preserve">Valencia </t>
  </si>
  <si>
    <t xml:space="preserve">City of Bayawan </t>
  </si>
  <si>
    <t xml:space="preserve">Siquijor </t>
  </si>
  <si>
    <t>Naval</t>
  </si>
  <si>
    <t xml:space="preserve">City of Borongan </t>
  </si>
  <si>
    <t xml:space="preserve">City of Tacloban </t>
  </si>
  <si>
    <t xml:space="preserve">Javier </t>
  </si>
  <si>
    <t xml:space="preserve">City of Baybay </t>
  </si>
  <si>
    <t xml:space="preserve">Catarman </t>
  </si>
  <si>
    <t xml:space="preserve">City of Calbayog </t>
  </si>
  <si>
    <t xml:space="preserve">Paranas </t>
  </si>
  <si>
    <t xml:space="preserve">City of Catbalogan </t>
  </si>
  <si>
    <t xml:space="preserve">City of Maasin </t>
  </si>
  <si>
    <t xml:space="preserve">San Juan </t>
  </si>
  <si>
    <t xml:space="preserve">Piñan </t>
  </si>
  <si>
    <t>City of Dapitan</t>
  </si>
  <si>
    <t xml:space="preserve">Jose Dalman </t>
  </si>
  <si>
    <t xml:space="preserve">City of Dipolog </t>
  </si>
  <si>
    <t xml:space="preserve">Ramon Magsaysay </t>
  </si>
  <si>
    <t xml:space="preserve">Sominot </t>
  </si>
  <si>
    <t xml:space="preserve">City of Pagadian </t>
  </si>
  <si>
    <t xml:space="preserve">City of Zamboanga </t>
  </si>
  <si>
    <t>Ipil</t>
  </si>
  <si>
    <t xml:space="preserve">City of Malaybalay </t>
  </si>
  <si>
    <t xml:space="preserve">City of Valencia </t>
  </si>
  <si>
    <t xml:space="preserve">Mambajao </t>
  </si>
  <si>
    <t xml:space="preserve">Tubod </t>
  </si>
  <si>
    <t xml:space="preserve">Sultan Naga Dimaporo </t>
  </si>
  <si>
    <t xml:space="preserve">City of Iligan </t>
  </si>
  <si>
    <t xml:space="preserve">City of Oroquieta </t>
  </si>
  <si>
    <t>Don Victoriano Chiongbian</t>
  </si>
  <si>
    <t xml:space="preserve">City of Ozamis </t>
  </si>
  <si>
    <t xml:space="preserve">City of Tangub </t>
  </si>
  <si>
    <t xml:space="preserve">Magsaysay </t>
  </si>
  <si>
    <t xml:space="preserve">City of Gingoog </t>
  </si>
  <si>
    <t xml:space="preserve">City of El Salvador </t>
  </si>
  <si>
    <t>City of Cagayan de Oro</t>
  </si>
  <si>
    <t xml:space="preserve">Maragusan </t>
  </si>
  <si>
    <t xml:space="preserve">Laak </t>
  </si>
  <si>
    <t xml:space="preserve">Mabini </t>
  </si>
  <si>
    <t xml:space="preserve">Nabunturan </t>
  </si>
  <si>
    <t xml:space="preserve">Asuncion </t>
  </si>
  <si>
    <t xml:space="preserve">City of Tagum </t>
  </si>
  <si>
    <t xml:space="preserve">City of Panabo </t>
  </si>
  <si>
    <t xml:space="preserve">City of Digos </t>
  </si>
  <si>
    <t xml:space="preserve">City of Davao </t>
  </si>
  <si>
    <t>City of Mati</t>
  </si>
  <si>
    <t xml:space="preserve">Jose Abad Santos </t>
  </si>
  <si>
    <t xml:space="preserve">City of Kidapawan </t>
  </si>
  <si>
    <t xml:space="preserve">Alabel </t>
  </si>
  <si>
    <t xml:space="preserve">City of General Santos </t>
  </si>
  <si>
    <t xml:space="preserve">City of Koronadal </t>
  </si>
  <si>
    <t xml:space="preserve">Isulan </t>
  </si>
  <si>
    <t>Lambayong</t>
  </si>
  <si>
    <t xml:space="preserve">City of Tacurong </t>
  </si>
  <si>
    <t xml:space="preserve">City of Butuan </t>
  </si>
  <si>
    <t>City of Cabadbaran</t>
  </si>
  <si>
    <t xml:space="preserve">Prosperidad </t>
  </si>
  <si>
    <t xml:space="preserve">City of Bayugan </t>
  </si>
  <si>
    <t xml:space="preserve">Basilisa </t>
  </si>
  <si>
    <t xml:space="preserve">Libjo </t>
  </si>
  <si>
    <t xml:space="preserve">Santa Monica </t>
  </si>
  <si>
    <t xml:space="preserve">City of Surigao </t>
  </si>
  <si>
    <t xml:space="preserve">City of Tandag </t>
  </si>
  <si>
    <t>City of Bislig</t>
  </si>
  <si>
    <t xml:space="preserve">City of Isabela </t>
  </si>
  <si>
    <t>City of Lamitan</t>
  </si>
  <si>
    <t xml:space="preserve">Amai Manabilang </t>
  </si>
  <si>
    <t xml:space="preserve">Poona-Bayabao </t>
  </si>
  <si>
    <t xml:space="preserve">City of Marawi </t>
  </si>
  <si>
    <t xml:space="preserve">Bacolod-Kalawi </t>
  </si>
  <si>
    <t xml:space="preserve">Balindong </t>
  </si>
  <si>
    <t xml:space="preserve">Pagayawan </t>
  </si>
  <si>
    <t xml:space="preserve">Picong </t>
  </si>
  <si>
    <t xml:space="preserve">Datu Odin Sinsuat </t>
  </si>
  <si>
    <t xml:space="preserve">Kabuntalan </t>
  </si>
  <si>
    <t xml:space="preserve">Sultan Kudarat </t>
  </si>
  <si>
    <t>City of Cotabato</t>
  </si>
  <si>
    <t xml:space="preserve">Shariff Aguak </t>
  </si>
  <si>
    <t xml:space="preserve">Sultan Sa Barongis </t>
  </si>
  <si>
    <t xml:space="preserve">Hadji Panglima Tahil </t>
  </si>
  <si>
    <t xml:space="preserve">Jolo </t>
  </si>
  <si>
    <t>Panglima Estino</t>
  </si>
  <si>
    <t xml:space="preserve">Bongao </t>
  </si>
  <si>
    <t xml:space="preserve">Mapun </t>
  </si>
  <si>
    <t xml:space="preserve">Panglima Sugala </t>
  </si>
  <si>
    <t xml:space="preserve">Banna </t>
  </si>
  <si>
    <t xml:space="preserve">Quirino </t>
  </si>
  <si>
    <t xml:space="preserve">Salcedo </t>
  </si>
  <si>
    <t>Gregorio del Pilar</t>
  </si>
  <si>
    <t xml:space="preserve">Gabaldon </t>
  </si>
  <si>
    <t xml:space="preserve">Santa Cruz </t>
  </si>
  <si>
    <t xml:space="preserve">Kalibo </t>
  </si>
  <si>
    <t>DAVAO DE ORO</t>
  </si>
  <si>
    <t>COTABATO</t>
  </si>
  <si>
    <t xml:space="preserve">Lagawe </t>
  </si>
  <si>
    <t xml:space="preserve">Alfonso Lista </t>
  </si>
  <si>
    <t>City of Santo Tomas</t>
  </si>
  <si>
    <t xml:space="preserve">Danao City </t>
  </si>
  <si>
    <t xml:space="preserve">Batangas City </t>
  </si>
  <si>
    <t xml:space="preserve">VOTER'S                                           TURN-OUT              </t>
  </si>
  <si>
    <t xml:space="preserve">VOTER'S                                           TURN-OUT                  </t>
  </si>
  <si>
    <t>GROUP</t>
  </si>
  <si>
    <t>Local AES</t>
  </si>
  <si>
    <t>NUMBER AND TURN-OUT OF REGISTERED VOTERS AND VOTERS WHO ACTUALLY VOTED</t>
  </si>
  <si>
    <t>GRAND TOTAL</t>
  </si>
  <si>
    <t>NOTE:</t>
  </si>
  <si>
    <t>COUNTRY</t>
  </si>
  <si>
    <t>BASED ON CERTIFICATE OF CANVASS</t>
  </si>
  <si>
    <t>ASIA PACIFIC</t>
  </si>
  <si>
    <t>NEW ZEALAND</t>
  </si>
  <si>
    <t>AUSTRALIA</t>
  </si>
  <si>
    <t>MALAYSIA</t>
  </si>
  <si>
    <t>SINGAPORE</t>
  </si>
  <si>
    <t>JAPAN</t>
  </si>
  <si>
    <t>MIDDLE EAST AND AFRICAS</t>
  </si>
  <si>
    <t>UNITED ARAB EMIRATES</t>
  </si>
  <si>
    <t>ISRAEL</t>
  </si>
  <si>
    <t>CANADA</t>
  </si>
  <si>
    <t>EUROPE</t>
  </si>
  <si>
    <t>UNITED KINGDOM OF GREAT BRITAIN</t>
  </si>
  <si>
    <t>SPAIN</t>
  </si>
  <si>
    <t>ITALY</t>
  </si>
  <si>
    <t>Ormoc City</t>
  </si>
  <si>
    <t>OVERSEAS AUTOMATED VOTING</t>
  </si>
  <si>
    <t>PAPUA NEW GUINEA</t>
  </si>
  <si>
    <t>CAMBODIA</t>
  </si>
  <si>
    <t>VIETNAM</t>
  </si>
  <si>
    <t>INDONESIA</t>
  </si>
  <si>
    <t>BANGLADESH</t>
  </si>
  <si>
    <t>TIMOR-LESTE</t>
  </si>
  <si>
    <t>MEXICO</t>
  </si>
  <si>
    <t>AUSTRIA</t>
  </si>
  <si>
    <t>SWITZERLAND</t>
  </si>
  <si>
    <t>May 12, 2025 National and Local Elections</t>
  </si>
  <si>
    <t>MAGUINDANAO DEL NORTE</t>
  </si>
  <si>
    <t xml:space="preserve">Matanog </t>
  </si>
  <si>
    <t xml:space="preserve">Parang </t>
  </si>
  <si>
    <t>MAGUINDANAO DEL SUR</t>
  </si>
  <si>
    <t xml:space="preserve">Datu Piang </t>
  </si>
  <si>
    <t xml:space="preserve">Mamasapano </t>
  </si>
  <si>
    <t>Shariff Saydona Mustapha</t>
  </si>
  <si>
    <t xml:space="preserve">Datu Paglas </t>
  </si>
  <si>
    <t xml:space="preserve">Gen. S. K. Pendatun </t>
  </si>
  <si>
    <t xml:space="preserve">Pagalungan </t>
  </si>
  <si>
    <t>SPECIAL GEOGRAPHIC AREA (SGA)</t>
  </si>
  <si>
    <t>Kadayangan</t>
  </si>
  <si>
    <t>Kapalawan</t>
  </si>
  <si>
    <t>Ligawasan</t>
  </si>
  <si>
    <t>Malidegao</t>
  </si>
  <si>
    <t>Nabalawag</t>
  </si>
  <si>
    <t>Old Kaabakan</t>
  </si>
  <si>
    <t>Pahamuddin</t>
  </si>
  <si>
    <t>Tugunan</t>
  </si>
  <si>
    <t>SULU</t>
  </si>
  <si>
    <t>Special Geographic Area (SGA)</t>
  </si>
  <si>
    <t>Tuguegarao City</t>
  </si>
  <si>
    <t>City of Baliwag</t>
  </si>
  <si>
    <t>NEGROS ISLAND REGION (NIR)</t>
  </si>
  <si>
    <t>City of Calaca</t>
  </si>
  <si>
    <t>City of Carmona</t>
  </si>
  <si>
    <t>Getafe</t>
  </si>
  <si>
    <t>Leon T. Postigo</t>
  </si>
  <si>
    <t xml:space="preserve">Pio V. Corpus </t>
  </si>
  <si>
    <t xml:space="preserve">City of Canlaon </t>
  </si>
  <si>
    <t xml:space="preserve">City of Guihulngan </t>
  </si>
  <si>
    <t xml:space="preserve">Presisent Carlos P. Garcia </t>
  </si>
  <si>
    <t>THAILAND</t>
  </si>
  <si>
    <t>CHINA</t>
  </si>
  <si>
    <t>BRUNEI</t>
  </si>
  <si>
    <t>PAKISTAN</t>
  </si>
  <si>
    <t>TAIWAN, ROC</t>
  </si>
  <si>
    <t>INDIA</t>
  </si>
  <si>
    <t>SOUTH KOREA</t>
  </si>
  <si>
    <t>LAOS</t>
  </si>
  <si>
    <t>MYANMAR</t>
  </si>
  <si>
    <t>NORTH AND LATIN AMERICA</t>
  </si>
  <si>
    <t>BRAZIL</t>
  </si>
  <si>
    <t>ARGENTINA</t>
  </si>
  <si>
    <t>CHILE</t>
  </si>
  <si>
    <t>UNITED STATES OF AMERICA</t>
  </si>
  <si>
    <t>NIGERIA</t>
  </si>
  <si>
    <t>JORDAN</t>
  </si>
  <si>
    <t>LEBANON</t>
  </si>
  <si>
    <t>EGYPT</t>
  </si>
  <si>
    <t>SYRIA</t>
  </si>
  <si>
    <t>QUATAR</t>
  </si>
  <si>
    <t>KUWAIT</t>
  </si>
  <si>
    <t>BAHRAIN</t>
  </si>
  <si>
    <t>OMAN</t>
  </si>
  <si>
    <t>KENYA</t>
  </si>
  <si>
    <t>SOUTH AFRICA</t>
  </si>
  <si>
    <t>MOROCCO</t>
  </si>
  <si>
    <t>SAUDI ARABIA</t>
  </si>
  <si>
    <t>IRAN</t>
  </si>
  <si>
    <t>LIBYA</t>
  </si>
  <si>
    <t>TURKIYE</t>
  </si>
  <si>
    <t>GREECE</t>
  </si>
  <si>
    <t>GERMANY</t>
  </si>
  <si>
    <t>BELGIUM</t>
  </si>
  <si>
    <t>HUNGARY</t>
  </si>
  <si>
    <t>DENMARK</t>
  </si>
  <si>
    <t>PORTUGAL</t>
  </si>
  <si>
    <t>RUSSIA</t>
  </si>
  <si>
    <t>NORWAY</t>
  </si>
  <si>
    <t>FRANCE</t>
  </si>
  <si>
    <t>CZECH REPUBLIC</t>
  </si>
  <si>
    <t>SWEDEN</t>
  </si>
  <si>
    <t>THE NETHERLANDS</t>
  </si>
  <si>
    <t>HOLY SEE</t>
  </si>
  <si>
    <t>POLAND</t>
  </si>
  <si>
    <t>Overseas Voting</t>
  </si>
  <si>
    <t>Local Absentee Voting</t>
  </si>
  <si>
    <t xml:space="preserve">   The Registered Voters of LAV is included in LOCAL AES</t>
  </si>
  <si>
    <t xml:space="preserve">VOTER'S                                           TURN-OUT
                  </t>
  </si>
  <si>
    <t xml:space="preserve">NUMBER AND TURN-OUT OF REGISTERED VOTERS FOR OVERSEAS VOTING,  PER COUNTRY </t>
  </si>
  <si>
    <t xml:space="preserve">NUMBER OF CLUSTERED PRECINCTS        </t>
  </si>
  <si>
    <t xml:space="preserve">NUMBER OF VOTERS WHO ACTUALLY VOTED               </t>
  </si>
  <si>
    <t>As of August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</si>
</sst>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;&quot; (&quot;#,##0.00\);&quot; -&quot;#\ ;@\ "/>
    <numFmt numFmtId="165" formatCode="#,##0\ ;&quot; (&quot;#,##0\);&quot; -&quot;#\ ;@\ "/>
  </numFmts>
  <fonts count="29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0"/>
      <name val="Tahoma"/>
      <family val="2"/>
    </font>
    <font>
      <sz val="10"/>
      <name val="Arial"/>
      <family val="2"/>
    </font>
    <font>
      <sz val="10"/>
      <name val="Tahoma"/>
      <family val="2"/>
    </font>
    <font>
      <sz val="10"/>
      <name val="Trebuchet MS"/>
      <family val="2"/>
    </font>
    <font>
      <b/>
      <sz val="10"/>
      <name val="Trebuchet MS"/>
      <family val="2"/>
    </font>
    <font>
      <b/>
      <sz val="10"/>
      <color theme="1"/>
      <name val="Trebuchet MS"/>
      <family val="2"/>
    </font>
    <font>
      <sz val="12"/>
      <color theme="1"/>
      <name val="Trebuchet MS"/>
      <family val="2"/>
    </font>
    <font>
      <b/>
      <sz val="9"/>
      <color theme="1"/>
      <name val="Trebuchet MS"/>
      <family val="2"/>
    </font>
    <font>
      <sz val="9"/>
      <color theme="1"/>
      <name val="Trebuchet MS"/>
      <family val="2"/>
    </font>
    <font>
      <sz val="8"/>
      <name val="Trebuchet MS"/>
      <family val="2"/>
    </font>
    <font>
      <b/>
      <sz val="8"/>
      <name val="Trebuchet MS"/>
      <family val="2"/>
    </font>
    <font>
      <sz val="10"/>
      <color theme="1"/>
      <name val="Trebuchet MS"/>
      <family val="2"/>
    </font>
    <font>
      <i/>
      <sz val="10"/>
      <color theme="1"/>
      <name val="Trebuchet MS"/>
      <family val="2"/>
    </font>
    <font>
      <b/>
      <i/>
      <sz val="10"/>
      <color theme="1"/>
      <name val="Trebuchet MS"/>
      <family val="2"/>
    </font>
    <font>
      <sz val="11"/>
      <name val="Trebuchet MS"/>
      <family val="2"/>
    </font>
    <font>
      <b/>
      <sz val="9"/>
      <name val="Trebuchet MS"/>
      <family val="2"/>
    </font>
    <font>
      <i/>
      <sz val="8"/>
      <name val="Trebuchet MS"/>
      <family val="2"/>
    </font>
    <font>
      <sz val="11"/>
      <color rgb="FF006100"/>
      <name val="Calibri"/>
      <family val="2"/>
      <scheme val="minor"/>
    </font>
    <font>
      <b/>
      <sz val="11"/>
      <color theme="1"/>
      <name val="Trebuchet MS"/>
      <family val="2"/>
    </font>
    <font>
      <b/>
      <sz val="11"/>
      <name val="Trebuchet MS"/>
      <family val="2"/>
    </font>
    <font>
      <sz val="9"/>
      <name val="Trebuchet MS"/>
      <family val="2"/>
    </font>
    <font>
      <i/>
      <sz val="10"/>
      <name val="Trebuchet MS"/>
      <family val="2"/>
    </font>
    <font>
      <b/>
      <sz val="12"/>
      <name val="Trebuchet MS"/>
      <family val="2"/>
    </font>
    <font>
      <sz val="12"/>
      <name val="Trebuchet MS"/>
      <family val="2"/>
    </font>
    <font>
      <b/>
      <sz val="14"/>
      <name val="Trebuchet MS"/>
      <family val="2"/>
    </font>
    <font>
      <sz val="14"/>
      <name val="Trebuchet MS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3" tint="0.79998168889431442"/>
        <bgColor rgb="FFFFFFCC"/>
      </patternFill>
    </fill>
    <fill>
      <patternFill patternType="solid">
        <fgColor rgb="FFC6EFCE"/>
      </patternFill>
    </fill>
    <fill>
      <patternFill patternType="solid">
        <fgColor theme="4" tint="0.79998168889431442"/>
        <b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rgb="FFFFFFCC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 style="thin">
        <color indexed="64"/>
      </right>
      <top style="thin">
        <color indexed="63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2" fillId="0" borderId="0"/>
    <xf numFmtId="0" fontId="4" fillId="0" borderId="0"/>
    <xf numFmtId="0" fontId="2" fillId="0" borderId="0"/>
    <xf numFmtId="164" fontId="2" fillId="0" borderId="0"/>
    <xf numFmtId="0" fontId="20" fillId="8" borderId="0" applyNumberFormat="0" applyBorder="0" applyAlignment="0" applyProtection="0"/>
  </cellStyleXfs>
  <cellXfs count="179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9" fillId="5" borderId="0" xfId="0" applyFont="1" applyFill="1" applyAlignment="1">
      <alignment vertical="center"/>
    </xf>
    <xf numFmtId="3" fontId="10" fillId="4" borderId="0" xfId="0" applyNumberFormat="1" applyFont="1" applyFill="1" applyAlignment="1">
      <alignment horizontal="center" vertical="center"/>
    </xf>
    <xf numFmtId="0" fontId="11" fillId="5" borderId="0" xfId="0" applyFont="1" applyFill="1" applyAlignment="1">
      <alignment vertical="center"/>
    </xf>
    <xf numFmtId="3" fontId="10" fillId="4" borderId="0" xfId="0" applyNumberFormat="1" applyFont="1" applyFill="1" applyAlignment="1">
      <alignment horizontal="center" vertical="center" wrapText="1"/>
    </xf>
    <xf numFmtId="3" fontId="11" fillId="4" borderId="0" xfId="0" applyNumberFormat="1" applyFont="1" applyFill="1" applyAlignment="1">
      <alignment vertical="center"/>
    </xf>
    <xf numFmtId="3" fontId="11" fillId="4" borderId="0" xfId="0" applyNumberFormat="1" applyFont="1" applyFill="1" applyAlignment="1">
      <alignment horizontal="center" vertical="center"/>
    </xf>
    <xf numFmtId="165" fontId="11" fillId="5" borderId="0" xfId="1" applyNumberFormat="1" applyFont="1" applyFill="1" applyAlignment="1">
      <alignment vertical="center"/>
    </xf>
    <xf numFmtId="3" fontId="8" fillId="5" borderId="2" xfId="1" applyNumberFormat="1" applyFont="1" applyFill="1" applyBorder="1" applyAlignment="1" applyProtection="1">
      <alignment horizontal="center" vertical="center"/>
      <protection hidden="1"/>
    </xf>
    <xf numFmtId="10" fontId="8" fillId="5" borderId="2" xfId="0" applyNumberFormat="1" applyFont="1" applyFill="1" applyBorder="1" applyAlignment="1">
      <alignment horizontal="center" vertical="center"/>
    </xf>
    <xf numFmtId="3" fontId="8" fillId="4" borderId="1" xfId="1" applyNumberFormat="1" applyFont="1" applyFill="1" applyBorder="1" applyAlignment="1" applyProtection="1">
      <alignment horizontal="center" vertical="center"/>
      <protection hidden="1"/>
    </xf>
    <xf numFmtId="10" fontId="8" fillId="5" borderId="1" xfId="0" applyNumberFormat="1" applyFont="1" applyFill="1" applyBorder="1" applyAlignment="1">
      <alignment horizontal="center" vertical="center"/>
    </xf>
    <xf numFmtId="3" fontId="8" fillId="5" borderId="1" xfId="1" applyNumberFormat="1" applyFont="1" applyFill="1" applyBorder="1" applyAlignment="1" applyProtection="1">
      <alignment horizontal="center" vertical="center"/>
      <protection hidden="1"/>
    </xf>
    <xf numFmtId="3" fontId="14" fillId="4" borderId="1" xfId="0" applyNumberFormat="1" applyFont="1" applyFill="1" applyBorder="1" applyAlignment="1" applyProtection="1">
      <alignment vertical="center"/>
      <protection hidden="1"/>
    </xf>
    <xf numFmtId="3" fontId="14" fillId="5" borderId="1" xfId="1" applyNumberFormat="1" applyFont="1" applyFill="1" applyBorder="1" applyAlignment="1">
      <alignment horizontal="center" vertical="center"/>
    </xf>
    <xf numFmtId="3" fontId="14" fillId="5" borderId="1" xfId="0" applyNumberFormat="1" applyFont="1" applyFill="1" applyBorder="1" applyAlignment="1">
      <alignment horizontal="center" vertical="center"/>
    </xf>
    <xf numFmtId="10" fontId="14" fillId="5" borderId="1" xfId="0" applyNumberFormat="1" applyFont="1" applyFill="1" applyBorder="1" applyAlignment="1">
      <alignment horizontal="center" vertical="center"/>
    </xf>
    <xf numFmtId="3" fontId="14" fillId="5" borderId="12" xfId="0" applyNumberFormat="1" applyFont="1" applyFill="1" applyBorder="1" applyAlignment="1">
      <alignment horizontal="center" vertical="center"/>
    </xf>
    <xf numFmtId="3" fontId="14" fillId="6" borderId="12" xfId="0" applyNumberFormat="1" applyFont="1" applyFill="1" applyBorder="1" applyAlignment="1">
      <alignment horizontal="center" vertical="center"/>
    </xf>
    <xf numFmtId="3" fontId="8" fillId="5" borderId="1" xfId="1" applyNumberFormat="1" applyFont="1" applyFill="1" applyBorder="1" applyAlignment="1">
      <alignment horizontal="center" vertical="center"/>
    </xf>
    <xf numFmtId="3" fontId="8" fillId="4" borderId="1" xfId="0" applyNumberFormat="1" applyFont="1" applyFill="1" applyBorder="1" applyAlignment="1" applyProtection="1">
      <alignment vertical="center"/>
      <protection hidden="1"/>
    </xf>
    <xf numFmtId="3" fontId="14" fillId="3" borderId="1" xfId="0" applyNumberFormat="1" applyFont="1" applyFill="1" applyBorder="1" applyAlignment="1" applyProtection="1">
      <alignment vertical="center"/>
      <protection hidden="1"/>
    </xf>
    <xf numFmtId="3" fontId="15" fillId="4" borderId="1" xfId="0" applyNumberFormat="1" applyFont="1" applyFill="1" applyBorder="1" applyAlignment="1" applyProtection="1">
      <alignment vertical="center"/>
      <protection hidden="1"/>
    </xf>
    <xf numFmtId="165" fontId="8" fillId="4" borderId="1" xfId="1" applyNumberFormat="1" applyFont="1" applyFill="1" applyBorder="1" applyAlignment="1" applyProtection="1">
      <alignment vertical="center"/>
      <protection hidden="1"/>
    </xf>
    <xf numFmtId="3" fontId="14" fillId="6" borderId="1" xfId="0" applyNumberFormat="1" applyFont="1" applyFill="1" applyBorder="1" applyAlignment="1">
      <alignment horizontal="center" vertical="center"/>
    </xf>
    <xf numFmtId="3" fontId="14" fillId="6" borderId="12" xfId="1" applyNumberFormat="1" applyFont="1" applyFill="1" applyBorder="1" applyAlignment="1">
      <alignment horizontal="center" vertical="center"/>
    </xf>
    <xf numFmtId="3" fontId="14" fillId="5" borderId="1" xfId="1" applyNumberFormat="1" applyFont="1" applyFill="1" applyBorder="1" applyAlignment="1" applyProtection="1">
      <alignment horizontal="center" vertical="center"/>
      <protection hidden="1"/>
    </xf>
    <xf numFmtId="3" fontId="8" fillId="6" borderId="12" xfId="0" applyNumberFormat="1" applyFont="1" applyFill="1" applyBorder="1" applyAlignment="1">
      <alignment horizontal="center" vertical="center"/>
    </xf>
    <xf numFmtId="3" fontId="16" fillId="4" borderId="1" xfId="0" applyNumberFormat="1" applyFont="1" applyFill="1" applyBorder="1" applyAlignment="1" applyProtection="1">
      <alignment vertical="center"/>
      <protection hidden="1"/>
    </xf>
    <xf numFmtId="3" fontId="8" fillId="4" borderId="1" xfId="0" applyNumberFormat="1" applyFont="1" applyFill="1" applyBorder="1" applyAlignment="1" applyProtection="1">
      <alignment horizontal="center" vertical="center"/>
      <protection hidden="1"/>
    </xf>
    <xf numFmtId="3" fontId="14" fillId="6" borderId="12" xfId="0" applyNumberFormat="1" applyFont="1" applyFill="1" applyBorder="1" applyAlignment="1">
      <alignment horizontal="center" vertical="center" wrapText="1"/>
    </xf>
    <xf numFmtId="3" fontId="14" fillId="5" borderId="12" xfId="0" applyNumberFormat="1" applyFont="1" applyFill="1" applyBorder="1" applyAlignment="1">
      <alignment horizontal="center" vertical="center" wrapText="1"/>
    </xf>
    <xf numFmtId="3" fontId="14" fillId="5" borderId="1" xfId="0" applyNumberFormat="1" applyFont="1" applyFill="1" applyBorder="1" applyAlignment="1" applyProtection="1">
      <alignment vertical="center"/>
      <protection hidden="1"/>
    </xf>
    <xf numFmtId="3" fontId="14" fillId="4" borderId="11" xfId="0" applyNumberFormat="1" applyFont="1" applyFill="1" applyBorder="1" applyAlignment="1" applyProtection="1">
      <alignment vertical="center"/>
      <protection hidden="1"/>
    </xf>
    <xf numFmtId="3" fontId="14" fillId="6" borderId="15" xfId="0" applyNumberFormat="1" applyFont="1" applyFill="1" applyBorder="1" applyAlignment="1">
      <alignment horizontal="center" vertical="center"/>
    </xf>
    <xf numFmtId="3" fontId="14" fillId="5" borderId="11" xfId="0" applyNumberFormat="1" applyFont="1" applyFill="1" applyBorder="1" applyAlignment="1">
      <alignment horizontal="center" vertical="center"/>
    </xf>
    <xf numFmtId="10" fontId="14" fillId="5" borderId="11" xfId="0" applyNumberFormat="1" applyFont="1" applyFill="1" applyBorder="1" applyAlignment="1">
      <alignment horizontal="center" vertical="center"/>
    </xf>
    <xf numFmtId="10" fontId="8" fillId="5" borderId="11" xfId="0" applyNumberFormat="1" applyFont="1" applyFill="1" applyBorder="1" applyAlignment="1">
      <alignment horizontal="center" vertical="center"/>
    </xf>
    <xf numFmtId="165" fontId="14" fillId="5" borderId="1" xfId="1" applyNumberFormat="1" applyFont="1" applyFill="1" applyBorder="1" applyAlignment="1">
      <alignment horizontal="center" vertical="center"/>
    </xf>
    <xf numFmtId="3" fontId="8" fillId="5" borderId="1" xfId="0" applyNumberFormat="1" applyFont="1" applyFill="1" applyBorder="1" applyAlignment="1">
      <alignment horizontal="center" vertical="center"/>
    </xf>
    <xf numFmtId="3" fontId="14" fillId="6" borderId="12" xfId="2" applyNumberFormat="1" applyFont="1" applyFill="1" applyBorder="1" applyAlignment="1">
      <alignment horizontal="center" vertical="center"/>
    </xf>
    <xf numFmtId="3" fontId="14" fillId="5" borderId="12" xfId="2" applyNumberFormat="1" applyFont="1" applyFill="1" applyBorder="1" applyAlignment="1">
      <alignment horizontal="center" vertical="center"/>
    </xf>
    <xf numFmtId="3" fontId="8" fillId="4" borderId="1" xfId="0" applyNumberFormat="1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3" fontId="14" fillId="6" borderId="14" xfId="0" applyNumberFormat="1" applyFont="1" applyFill="1" applyBorder="1" applyAlignment="1">
      <alignment horizontal="center" vertical="center"/>
    </xf>
    <xf numFmtId="3" fontId="14" fillId="5" borderId="13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vertical="center" wrapText="1"/>
    </xf>
    <xf numFmtId="0" fontId="6" fillId="5" borderId="1" xfId="0" applyFont="1" applyFill="1" applyBorder="1"/>
    <xf numFmtId="0" fontId="6" fillId="5" borderId="11" xfId="0" applyFont="1" applyFill="1" applyBorder="1" applyAlignment="1">
      <alignment vertical="center"/>
    </xf>
    <xf numFmtId="0" fontId="14" fillId="5" borderId="1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3" fontId="12" fillId="2" borderId="0" xfId="0" applyNumberFormat="1" applyFont="1" applyFill="1" applyAlignment="1">
      <alignment vertical="center"/>
    </xf>
    <xf numFmtId="165" fontId="12" fillId="2" borderId="0" xfId="1" applyNumberFormat="1" applyFont="1" applyFill="1" applyAlignment="1">
      <alignment vertical="center"/>
    </xf>
    <xf numFmtId="0" fontId="17" fillId="0" borderId="0" xfId="0" applyFont="1" applyAlignment="1">
      <alignment vertical="center"/>
    </xf>
    <xf numFmtId="3" fontId="12" fillId="4" borderId="0" xfId="0" applyNumberFormat="1" applyFont="1" applyFill="1" applyAlignment="1">
      <alignment vertical="center"/>
    </xf>
    <xf numFmtId="3" fontId="19" fillId="4" borderId="0" xfId="0" applyNumberFormat="1" applyFont="1" applyFill="1" applyAlignment="1">
      <alignment horizontal="center" vertical="center" wrapText="1"/>
    </xf>
    <xf numFmtId="3" fontId="17" fillId="0" borderId="0" xfId="0" applyNumberFormat="1" applyFont="1" applyAlignment="1">
      <alignment vertical="center"/>
    </xf>
    <xf numFmtId="3" fontId="11" fillId="5" borderId="0" xfId="1" applyNumberFormat="1" applyFont="1" applyFill="1" applyAlignment="1">
      <alignment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8" fillId="6" borderId="1" xfId="0" applyNumberFormat="1" applyFont="1" applyFill="1" applyBorder="1" applyAlignment="1">
      <alignment horizontal="center" vertical="center"/>
    </xf>
    <xf numFmtId="3" fontId="1" fillId="5" borderId="12" xfId="5" applyNumberFormat="1" applyFont="1" applyFill="1" applyBorder="1" applyAlignment="1">
      <alignment horizontal="center" vertical="center"/>
    </xf>
    <xf numFmtId="3" fontId="8" fillId="5" borderId="4" xfId="0" applyNumberFormat="1" applyFont="1" applyFill="1" applyBorder="1" applyAlignment="1">
      <alignment horizontal="center" vertical="center"/>
    </xf>
    <xf numFmtId="165" fontId="8" fillId="5" borderId="1" xfId="1" applyNumberFormat="1" applyFont="1" applyFill="1" applyBorder="1" applyAlignment="1">
      <alignment horizontal="center" vertical="center"/>
    </xf>
    <xf numFmtId="3" fontId="14" fillId="5" borderId="11" xfId="1" applyNumberFormat="1" applyFont="1" applyFill="1" applyBorder="1" applyAlignment="1">
      <alignment horizontal="center" vertical="center"/>
    </xf>
    <xf numFmtId="165" fontId="14" fillId="5" borderId="11" xfId="1" applyNumberFormat="1" applyFont="1" applyFill="1" applyBorder="1" applyAlignment="1">
      <alignment horizontal="center" vertical="center"/>
    </xf>
    <xf numFmtId="3" fontId="18" fillId="2" borderId="0" xfId="0" applyNumberFormat="1" applyFont="1" applyFill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23" fillId="0" borderId="0" xfId="0" applyFont="1" applyAlignment="1">
      <alignment vertical="center"/>
    </xf>
    <xf numFmtId="3" fontId="6" fillId="2" borderId="0" xfId="0" applyNumberFormat="1" applyFont="1" applyFill="1" applyAlignment="1">
      <alignment vertical="center"/>
    </xf>
    <xf numFmtId="165" fontId="6" fillId="2" borderId="0" xfId="1" applyNumberFormat="1" applyFont="1" applyFill="1" applyAlignment="1">
      <alignment vertical="center"/>
    </xf>
    <xf numFmtId="0" fontId="6" fillId="0" borderId="0" xfId="3" applyFont="1"/>
    <xf numFmtId="3" fontId="7" fillId="2" borderId="0" xfId="3" applyNumberFormat="1" applyFont="1" applyFill="1" applyAlignment="1">
      <alignment horizontal="center" vertical="center" wrapText="1"/>
    </xf>
    <xf numFmtId="3" fontId="7" fillId="4" borderId="1" xfId="3" applyNumberFormat="1" applyFont="1" applyFill="1" applyBorder="1" applyAlignment="1" applyProtection="1">
      <alignment vertical="center"/>
      <protection hidden="1"/>
    </xf>
    <xf numFmtId="3" fontId="6" fillId="4" borderId="1" xfId="3" applyNumberFormat="1" applyFont="1" applyFill="1" applyBorder="1" applyAlignment="1" applyProtection="1">
      <alignment vertical="center"/>
      <protection hidden="1"/>
    </xf>
    <xf numFmtId="3" fontId="6" fillId="4" borderId="0" xfId="3" applyNumberFormat="1" applyFont="1" applyFill="1"/>
    <xf numFmtId="3" fontId="26" fillId="2" borderId="0" xfId="0" applyNumberFormat="1" applyFont="1" applyFill="1" applyAlignment="1">
      <alignment vertical="center"/>
    </xf>
    <xf numFmtId="165" fontId="26" fillId="2" borderId="0" xfId="1" applyNumberFormat="1" applyFont="1" applyFill="1" applyAlignment="1">
      <alignment vertical="center"/>
    </xf>
    <xf numFmtId="0" fontId="26" fillId="0" borderId="0" xfId="0" applyFont="1" applyAlignment="1">
      <alignment vertical="center"/>
    </xf>
    <xf numFmtId="3" fontId="26" fillId="0" borderId="0" xfId="0" applyNumberFormat="1" applyFont="1" applyAlignment="1">
      <alignment vertical="center"/>
    </xf>
    <xf numFmtId="3" fontId="25" fillId="4" borderId="0" xfId="0" applyNumberFormat="1" applyFont="1" applyFill="1" applyAlignment="1">
      <alignment vertical="center"/>
    </xf>
    <xf numFmtId="3" fontId="26" fillId="4" borderId="0" xfId="0" applyNumberFormat="1" applyFont="1" applyFill="1" applyAlignment="1">
      <alignment vertical="center"/>
    </xf>
    <xf numFmtId="10" fontId="22" fillId="0" borderId="1" xfId="0" applyNumberFormat="1" applyFont="1" applyBorder="1" applyAlignment="1">
      <alignment horizontal="center" vertical="center"/>
    </xf>
    <xf numFmtId="3" fontId="22" fillId="4" borderId="1" xfId="1" applyNumberFormat="1" applyFont="1" applyFill="1" applyBorder="1" applyAlignment="1" applyProtection="1">
      <alignment horizontal="center" vertical="center"/>
      <protection hidden="1"/>
    </xf>
    <xf numFmtId="3" fontId="17" fillId="2" borderId="1" xfId="1" applyNumberFormat="1" applyFont="1" applyFill="1" applyBorder="1" applyAlignment="1">
      <alignment horizontal="center" vertical="center"/>
    </xf>
    <xf numFmtId="10" fontId="17" fillId="0" borderId="1" xfId="0" applyNumberFormat="1" applyFont="1" applyBorder="1" applyAlignment="1">
      <alignment horizontal="center" vertical="center"/>
    </xf>
    <xf numFmtId="3" fontId="25" fillId="2" borderId="1" xfId="4" applyNumberFormat="1" applyFont="1" applyFill="1" applyBorder="1" applyAlignment="1">
      <alignment horizontal="center" vertical="center"/>
    </xf>
    <xf numFmtId="10" fontId="25" fillId="0" borderId="1" xfId="3" applyNumberFormat="1" applyFont="1" applyBorder="1" applyAlignment="1">
      <alignment horizontal="center" vertical="center"/>
    </xf>
    <xf numFmtId="3" fontId="22" fillId="4" borderId="1" xfId="3" applyNumberFormat="1" applyFont="1" applyFill="1" applyBorder="1" applyAlignment="1" applyProtection="1">
      <alignment vertical="center"/>
      <protection hidden="1"/>
    </xf>
    <xf numFmtId="3" fontId="17" fillId="4" borderId="1" xfId="3" applyNumberFormat="1" applyFont="1" applyFill="1" applyBorder="1" applyAlignment="1" applyProtection="1">
      <alignment vertical="center"/>
      <protection hidden="1"/>
    </xf>
    <xf numFmtId="3" fontId="17" fillId="2" borderId="1" xfId="4" applyNumberFormat="1" applyFont="1" applyFill="1" applyBorder="1" applyAlignment="1">
      <alignment horizontal="center" vertical="center"/>
    </xf>
    <xf numFmtId="10" fontId="17" fillId="0" borderId="1" xfId="3" applyNumberFormat="1" applyFont="1" applyBorder="1" applyAlignment="1">
      <alignment horizontal="center" vertical="center"/>
    </xf>
    <xf numFmtId="3" fontId="25" fillId="4" borderId="1" xfId="3" applyNumberFormat="1" applyFont="1" applyFill="1" applyBorder="1" applyAlignment="1" applyProtection="1">
      <alignment vertical="center"/>
      <protection hidden="1"/>
    </xf>
    <xf numFmtId="3" fontId="26" fillId="4" borderId="1" xfId="3" applyNumberFormat="1" applyFont="1" applyFill="1" applyBorder="1" applyAlignment="1" applyProtection="1">
      <alignment vertical="center"/>
      <protection hidden="1"/>
    </xf>
    <xf numFmtId="3" fontId="22" fillId="4" borderId="2" xfId="1" applyNumberFormat="1" applyFont="1" applyFill="1" applyBorder="1" applyAlignment="1" applyProtection="1">
      <alignment horizontal="center" vertical="center"/>
      <protection hidden="1"/>
    </xf>
    <xf numFmtId="10" fontId="22" fillId="0" borderId="2" xfId="0" applyNumberFormat="1" applyFont="1" applyBorder="1" applyAlignment="1">
      <alignment horizontal="center" vertical="center"/>
    </xf>
    <xf numFmtId="3" fontId="7" fillId="4" borderId="1" xfId="0" applyNumberFormat="1" applyFont="1" applyFill="1" applyBorder="1" applyAlignment="1" applyProtection="1">
      <alignment horizontal="left" vertical="center"/>
      <protection hidden="1"/>
    </xf>
    <xf numFmtId="3" fontId="7" fillId="2" borderId="1" xfId="1" applyNumberFormat="1" applyFont="1" applyFill="1" applyBorder="1" applyAlignment="1">
      <alignment horizontal="center" vertical="center"/>
    </xf>
    <xf numFmtId="10" fontId="7" fillId="0" borderId="1" xfId="0" applyNumberFormat="1" applyFont="1" applyBorder="1" applyAlignment="1">
      <alignment horizontal="center" vertical="center"/>
    </xf>
    <xf numFmtId="3" fontId="7" fillId="4" borderId="1" xfId="0" applyNumberFormat="1" applyFont="1" applyFill="1" applyBorder="1" applyAlignment="1" applyProtection="1">
      <alignment vertical="center"/>
      <protection hidden="1"/>
    </xf>
    <xf numFmtId="3" fontId="6" fillId="4" borderId="1" xfId="0" applyNumberFormat="1" applyFont="1" applyFill="1" applyBorder="1" applyAlignment="1" applyProtection="1">
      <alignment vertical="center"/>
      <protection hidden="1"/>
    </xf>
    <xf numFmtId="3" fontId="6" fillId="2" borderId="1" xfId="1" applyNumberFormat="1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3" fontId="6" fillId="4" borderId="1" xfId="0" applyNumberFormat="1" applyFont="1" applyFill="1" applyBorder="1" applyAlignment="1" applyProtection="1">
      <alignment horizontal="left" vertical="center"/>
      <protection hidden="1"/>
    </xf>
    <xf numFmtId="3" fontId="6" fillId="4" borderId="1" xfId="1" applyNumberFormat="1" applyFont="1" applyFill="1" applyBorder="1" applyAlignment="1">
      <alignment horizontal="center" vertical="center"/>
    </xf>
    <xf numFmtId="3" fontId="6" fillId="4" borderId="1" xfId="0" applyNumberFormat="1" applyFont="1" applyFill="1" applyBorder="1" applyAlignment="1">
      <alignment vertical="center"/>
    </xf>
    <xf numFmtId="3" fontId="24" fillId="4" borderId="1" xfId="0" applyNumberFormat="1" applyFont="1" applyFill="1" applyBorder="1" applyAlignment="1">
      <alignment vertical="center"/>
    </xf>
    <xf numFmtId="3" fontId="8" fillId="4" borderId="0" xfId="0" applyNumberFormat="1" applyFont="1" applyFill="1" applyAlignment="1">
      <alignment horizontal="center" vertical="center" wrapText="1"/>
    </xf>
    <xf numFmtId="3" fontId="6" fillId="4" borderId="0" xfId="0" applyNumberFormat="1" applyFont="1" applyFill="1" applyAlignment="1">
      <alignment vertical="center"/>
    </xf>
    <xf numFmtId="3" fontId="6" fillId="4" borderId="0" xfId="0" applyNumberFormat="1" applyFont="1" applyFill="1" applyAlignment="1">
      <alignment vertical="top"/>
    </xf>
    <xf numFmtId="3" fontId="27" fillId="2" borderId="1" xfId="1" applyNumberFormat="1" applyFont="1" applyFill="1" applyBorder="1" applyAlignment="1">
      <alignment horizontal="center" vertical="center"/>
    </xf>
    <xf numFmtId="10" fontId="27" fillId="0" borderId="1" xfId="0" applyNumberFormat="1" applyFont="1" applyBorder="1" applyAlignment="1">
      <alignment horizontal="center" vertical="center"/>
    </xf>
    <xf numFmtId="3" fontId="28" fillId="4" borderId="2" xfId="1" applyNumberFormat="1" applyFont="1" applyFill="1" applyBorder="1" applyAlignment="1" applyProtection="1">
      <alignment horizontal="center" vertical="center"/>
      <protection hidden="1"/>
    </xf>
    <xf numFmtId="10" fontId="28" fillId="0" borderId="2" xfId="0" applyNumberFormat="1" applyFont="1" applyBorder="1" applyAlignment="1">
      <alignment horizontal="center" vertical="center"/>
    </xf>
    <xf numFmtId="3" fontId="28" fillId="2" borderId="1" xfId="1" applyNumberFormat="1" applyFont="1" applyFill="1" applyBorder="1" applyAlignment="1">
      <alignment horizontal="center" vertical="center"/>
    </xf>
    <xf numFmtId="10" fontId="28" fillId="0" borderId="1" xfId="0" applyNumberFormat="1" applyFont="1" applyBorder="1" applyAlignment="1">
      <alignment horizontal="center" vertical="center"/>
    </xf>
    <xf numFmtId="0" fontId="26" fillId="10" borderId="1" xfId="0" applyFont="1" applyFill="1" applyBorder="1" applyAlignment="1">
      <alignment vertical="center"/>
    </xf>
    <xf numFmtId="3" fontId="26" fillId="4" borderId="0" xfId="0" applyNumberFormat="1" applyFont="1" applyFill="1" applyAlignment="1">
      <alignment horizontal="left" vertical="center"/>
    </xf>
    <xf numFmtId="3" fontId="25" fillId="0" borderId="0" xfId="0" applyNumberFormat="1" applyFont="1" applyAlignment="1">
      <alignment horizontal="center" vertical="center"/>
    </xf>
    <xf numFmtId="3" fontId="25" fillId="2" borderId="0" xfId="0" applyNumberFormat="1" applyFont="1" applyFill="1" applyAlignment="1">
      <alignment horizontal="center" vertical="center" wrapText="1"/>
    </xf>
    <xf numFmtId="3" fontId="25" fillId="9" borderId="1" xfId="0" applyNumberFormat="1" applyFont="1" applyFill="1" applyBorder="1" applyAlignment="1" applyProtection="1">
      <alignment horizontal="center" vertical="center" wrapText="1"/>
      <protection hidden="1"/>
    </xf>
    <xf numFmtId="3" fontId="27" fillId="4" borderId="1" xfId="0" applyNumberFormat="1" applyFont="1" applyFill="1" applyBorder="1" applyAlignment="1" applyProtection="1">
      <alignment horizontal="left" vertical="center"/>
      <protection hidden="1"/>
    </xf>
    <xf numFmtId="3" fontId="28" fillId="4" borderId="2" xfId="0" applyNumberFormat="1" applyFont="1" applyFill="1" applyBorder="1" applyAlignment="1" applyProtection="1">
      <alignment horizontal="left" vertical="center"/>
      <protection hidden="1"/>
    </xf>
    <xf numFmtId="3" fontId="28" fillId="4" borderId="1" xfId="0" applyNumberFormat="1" applyFont="1" applyFill="1" applyBorder="1" applyAlignment="1" applyProtection="1">
      <alignment horizontal="left" vertical="center"/>
      <protection hidden="1"/>
    </xf>
    <xf numFmtId="3" fontId="28" fillId="4" borderId="3" xfId="0" applyNumberFormat="1" applyFont="1" applyFill="1" applyBorder="1" applyAlignment="1" applyProtection="1">
      <alignment horizontal="center" vertical="center"/>
      <protection hidden="1"/>
    </xf>
    <xf numFmtId="3" fontId="28" fillId="4" borderId="16" xfId="0" applyNumberFormat="1" applyFont="1" applyFill="1" applyBorder="1" applyAlignment="1" applyProtection="1">
      <alignment horizontal="center" vertical="center"/>
      <protection hidden="1"/>
    </xf>
    <xf numFmtId="3" fontId="17" fillId="4" borderId="1" xfId="0" applyNumberFormat="1" applyFont="1" applyFill="1" applyBorder="1" applyAlignment="1" applyProtection="1">
      <alignment horizontal="left" vertical="center"/>
      <protection hidden="1"/>
    </xf>
    <xf numFmtId="3" fontId="22" fillId="4" borderId="1" xfId="0" applyNumberFormat="1" applyFont="1" applyFill="1" applyBorder="1" applyAlignment="1" applyProtection="1">
      <alignment horizontal="center" vertical="center" wrapText="1"/>
      <protection hidden="1"/>
    </xf>
    <xf numFmtId="3" fontId="22" fillId="4" borderId="2" xfId="0" applyNumberFormat="1" applyFont="1" applyFill="1" applyBorder="1" applyAlignment="1" applyProtection="1">
      <alignment horizontal="left" vertical="center"/>
      <protection hidden="1"/>
    </xf>
    <xf numFmtId="3" fontId="7" fillId="0" borderId="0" xfId="0" applyNumberFormat="1" applyFont="1" applyAlignment="1">
      <alignment horizontal="center" vertical="center"/>
    </xf>
    <xf numFmtId="3" fontId="7" fillId="2" borderId="0" xfId="0" applyNumberFormat="1" applyFont="1" applyFill="1" applyAlignment="1">
      <alignment horizontal="center" vertical="center"/>
    </xf>
    <xf numFmtId="3" fontId="7" fillId="2" borderId="0" xfId="0" applyNumberFormat="1" applyFont="1" applyFill="1" applyAlignment="1">
      <alignment horizontal="center" vertical="center" wrapText="1"/>
    </xf>
    <xf numFmtId="3" fontId="7" fillId="4" borderId="1" xfId="0" applyNumberFormat="1" applyFont="1" applyFill="1" applyBorder="1" applyAlignment="1" applyProtection="1">
      <alignment horizontal="left" vertical="center"/>
      <protection hidden="1"/>
    </xf>
    <xf numFmtId="3" fontId="13" fillId="2" borderId="0" xfId="0" applyNumberFormat="1" applyFont="1" applyFill="1" applyAlignment="1">
      <alignment horizontal="center" vertical="center"/>
    </xf>
    <xf numFmtId="3" fontId="18" fillId="2" borderId="0" xfId="0" applyNumberFormat="1" applyFont="1" applyFill="1" applyAlignment="1">
      <alignment horizontal="center" vertical="center" wrapText="1"/>
    </xf>
    <xf numFmtId="3" fontId="8" fillId="4" borderId="1" xfId="0" applyNumberFormat="1" applyFont="1" applyFill="1" applyBorder="1" applyAlignment="1" applyProtection="1">
      <alignment horizontal="left" vertical="center"/>
      <protection hidden="1"/>
    </xf>
    <xf numFmtId="3" fontId="8" fillId="5" borderId="0" xfId="0" applyNumberFormat="1" applyFont="1" applyFill="1" applyAlignment="1">
      <alignment horizontal="center" vertical="center"/>
    </xf>
    <xf numFmtId="3" fontId="8" fillId="4" borderId="2" xfId="0" applyNumberFormat="1" applyFont="1" applyFill="1" applyBorder="1" applyAlignment="1" applyProtection="1">
      <alignment horizontal="left" vertical="center"/>
      <protection hidden="1"/>
    </xf>
    <xf numFmtId="3" fontId="8" fillId="4" borderId="0" xfId="0" applyNumberFormat="1" applyFont="1" applyFill="1" applyAlignment="1">
      <alignment horizontal="center" vertical="center" wrapText="1"/>
    </xf>
    <xf numFmtId="3" fontId="25" fillId="4" borderId="1" xfId="3" applyNumberFormat="1" applyFont="1" applyFill="1" applyBorder="1" applyAlignment="1" applyProtection="1">
      <alignment horizontal="left" vertical="center"/>
      <protection hidden="1"/>
    </xf>
    <xf numFmtId="3" fontId="26" fillId="2" borderId="0" xfId="3" applyNumberFormat="1" applyFont="1" applyFill="1" applyAlignment="1">
      <alignment horizontal="left" vertical="center" wrapText="1"/>
    </xf>
    <xf numFmtId="3" fontId="6" fillId="2" borderId="0" xfId="3" applyNumberFormat="1" applyFont="1" applyFill="1" applyAlignment="1">
      <alignment horizontal="left" vertical="top" wrapText="1"/>
    </xf>
    <xf numFmtId="3" fontId="25" fillId="7" borderId="1" xfId="3" applyNumberFormat="1" applyFont="1" applyFill="1" applyBorder="1" applyAlignment="1" applyProtection="1">
      <alignment horizontal="center" vertical="center" wrapText="1"/>
      <protection hidden="1"/>
    </xf>
    <xf numFmtId="165" fontId="25" fillId="7" borderId="1" xfId="4" applyNumberFormat="1" applyFont="1" applyFill="1" applyBorder="1" applyAlignment="1">
      <alignment horizontal="center" vertical="center" wrapText="1"/>
    </xf>
    <xf numFmtId="3" fontId="17" fillId="4" borderId="3" xfId="0" applyNumberFormat="1" applyFont="1" applyFill="1" applyBorder="1" applyAlignment="1" applyProtection="1">
      <alignment horizontal="left" vertical="center"/>
      <protection hidden="1"/>
    </xf>
    <xf numFmtId="3" fontId="17" fillId="4" borderId="16" xfId="0" applyNumberFormat="1" applyFont="1" applyFill="1" applyBorder="1" applyAlignment="1" applyProtection="1">
      <alignment horizontal="left" vertical="center"/>
      <protection hidden="1"/>
    </xf>
    <xf numFmtId="165" fontId="7" fillId="2" borderId="1" xfId="1" applyNumberFormat="1" applyFont="1" applyFill="1" applyBorder="1" applyAlignment="1">
      <alignment horizontal="center" vertical="center" wrapText="1"/>
    </xf>
    <xf numFmtId="165" fontId="8" fillId="4" borderId="1" xfId="1" applyNumberFormat="1" applyFont="1" applyFill="1" applyBorder="1" applyAlignment="1">
      <alignment horizontal="center" vertical="center" wrapText="1"/>
    </xf>
    <xf numFmtId="3" fontId="7" fillId="2" borderId="1" xfId="0" applyNumberFormat="1" applyFont="1" applyFill="1" applyBorder="1" applyAlignment="1">
      <alignment horizontal="center" vertical="center" wrapText="1"/>
    </xf>
    <xf numFmtId="3" fontId="8" fillId="5" borderId="0" xfId="0" applyNumberFormat="1" applyFont="1" applyFill="1" applyAlignment="1">
      <alignment vertical="center"/>
    </xf>
    <xf numFmtId="3" fontId="25" fillId="2" borderId="0" xfId="3" applyNumberFormat="1" applyFont="1" applyFill="1" applyAlignment="1">
      <alignment horizontal="center" wrapText="1"/>
    </xf>
    <xf numFmtId="3" fontId="26" fillId="2" borderId="0" xfId="3" applyNumberFormat="1" applyFont="1" applyFill="1" applyAlignment="1">
      <alignment horizontal="center" vertical="center" wrapText="1"/>
    </xf>
    <xf numFmtId="165" fontId="22" fillId="7" borderId="1" xfId="4" applyNumberFormat="1" applyFont="1" applyFill="1" applyBorder="1" applyAlignment="1">
      <alignment horizontal="center" vertical="center" wrapText="1"/>
    </xf>
    <xf numFmtId="165" fontId="22" fillId="7" borderId="1" xfId="1" applyNumberFormat="1" applyFont="1" applyFill="1" applyBorder="1" applyAlignment="1">
      <alignment horizontal="center" vertical="center" wrapText="1"/>
    </xf>
    <xf numFmtId="3" fontId="22" fillId="7" borderId="1" xfId="3" applyNumberFormat="1" applyFont="1" applyFill="1" applyBorder="1" applyAlignment="1">
      <alignment horizontal="center" vertical="center" wrapText="1"/>
    </xf>
    <xf numFmtId="3" fontId="22" fillId="11" borderId="1" xfId="0" applyNumberFormat="1" applyFont="1" applyFill="1" applyBorder="1" applyAlignment="1" applyProtection="1">
      <alignment horizontal="center" vertical="center" wrapText="1"/>
      <protection hidden="1"/>
    </xf>
    <xf numFmtId="165" fontId="22" fillId="11" borderId="1" xfId="1" applyNumberFormat="1" applyFont="1" applyFill="1" applyBorder="1" applyAlignment="1">
      <alignment horizontal="center" vertical="center" wrapText="1"/>
    </xf>
    <xf numFmtId="165" fontId="21" fillId="11" borderId="1" xfId="1" applyNumberFormat="1" applyFont="1" applyFill="1" applyBorder="1" applyAlignment="1">
      <alignment horizontal="center" vertical="center" wrapText="1"/>
    </xf>
    <xf numFmtId="3" fontId="22" fillId="11" borderId="1" xfId="0" applyNumberFormat="1" applyFont="1" applyFill="1" applyBorder="1" applyAlignment="1">
      <alignment horizontal="center" vertical="center" wrapText="1"/>
    </xf>
    <xf numFmtId="3" fontId="21" fillId="11" borderId="5" xfId="0" applyNumberFormat="1" applyFont="1" applyFill="1" applyBorder="1" applyAlignment="1" applyProtection="1">
      <alignment horizontal="center" vertical="center" wrapText="1"/>
      <protection hidden="1"/>
    </xf>
    <xf numFmtId="3" fontId="21" fillId="11" borderId="6" xfId="0" applyNumberFormat="1" applyFont="1" applyFill="1" applyBorder="1" applyAlignment="1" applyProtection="1">
      <alignment horizontal="center" vertical="center" wrapText="1"/>
      <protection hidden="1"/>
    </xf>
    <xf numFmtId="3" fontId="21" fillId="11" borderId="1" xfId="1" applyNumberFormat="1" applyFont="1" applyFill="1" applyBorder="1" applyAlignment="1">
      <alignment horizontal="center" vertical="center" wrapText="1"/>
    </xf>
    <xf numFmtId="3" fontId="21" fillId="11" borderId="11" xfId="1" applyNumberFormat="1" applyFont="1" applyFill="1" applyBorder="1" applyAlignment="1">
      <alignment horizontal="center" vertical="center" wrapText="1"/>
    </xf>
    <xf numFmtId="3" fontId="21" fillId="11" borderId="1" xfId="0" applyNumberFormat="1" applyFont="1" applyFill="1" applyBorder="1" applyAlignment="1">
      <alignment horizontal="center" vertical="center" wrapText="1"/>
    </xf>
    <xf numFmtId="3" fontId="21" fillId="11" borderId="7" xfId="0" applyNumberFormat="1" applyFont="1" applyFill="1" applyBorder="1" applyAlignment="1" applyProtection="1">
      <alignment horizontal="center" vertical="center" wrapText="1"/>
      <protection hidden="1"/>
    </xf>
    <xf numFmtId="3" fontId="21" fillId="11" borderId="8" xfId="0" applyNumberFormat="1" applyFont="1" applyFill="1" applyBorder="1" applyAlignment="1" applyProtection="1">
      <alignment horizontal="center" vertical="center" wrapText="1"/>
      <protection hidden="1"/>
    </xf>
    <xf numFmtId="3" fontId="21" fillId="11" borderId="4" xfId="1" applyNumberFormat="1" applyFont="1" applyFill="1" applyBorder="1" applyAlignment="1">
      <alignment horizontal="center" vertical="center" wrapText="1"/>
    </xf>
    <xf numFmtId="3" fontId="21" fillId="11" borderId="9" xfId="0" applyNumberFormat="1" applyFont="1" applyFill="1" applyBorder="1" applyAlignment="1" applyProtection="1">
      <alignment horizontal="center" vertical="center" wrapText="1"/>
      <protection hidden="1"/>
    </xf>
    <xf numFmtId="3" fontId="21" fillId="11" borderId="10" xfId="0" applyNumberFormat="1" applyFont="1" applyFill="1" applyBorder="1" applyAlignment="1" applyProtection="1">
      <alignment horizontal="center" vertical="center" wrapText="1"/>
      <protection hidden="1"/>
    </xf>
    <xf numFmtId="3" fontId="21" fillId="11" borderId="2" xfId="1" applyNumberFormat="1" applyFont="1" applyFill="1" applyBorder="1" applyAlignment="1">
      <alignment horizontal="center" vertical="center" wrapText="1"/>
    </xf>
    <xf numFmtId="3" fontId="25" fillId="4" borderId="1" xfId="4" applyNumberFormat="1" applyFont="1" applyFill="1" applyBorder="1" applyAlignment="1" applyProtection="1">
      <alignment horizontal="center" vertical="center"/>
      <protection hidden="1"/>
    </xf>
    <xf numFmtId="10" fontId="25" fillId="5" borderId="1" xfId="3" applyNumberFormat="1" applyFont="1" applyFill="1" applyBorder="1" applyAlignment="1">
      <alignment horizontal="center" vertical="center"/>
    </xf>
    <xf numFmtId="165" fontId="22" fillId="9" borderId="1" xfId="1" applyNumberFormat="1" applyFont="1" applyFill="1" applyBorder="1" applyAlignment="1">
      <alignment horizontal="center" vertical="center" wrapText="1"/>
    </xf>
    <xf numFmtId="3" fontId="22" fillId="9" borderId="1" xfId="0" applyNumberFormat="1" applyFont="1" applyFill="1" applyBorder="1" applyAlignment="1">
      <alignment horizontal="center" vertical="center" wrapText="1"/>
    </xf>
  </cellXfs>
  <cellStyles count="6">
    <cellStyle name="Comma" xfId="1" builtinId="3"/>
    <cellStyle name="Comma 2" xfId="4" xr:uid="{5CFB0EB3-C7D5-4D73-B03E-68CD0A736032}"/>
    <cellStyle name="Good" xfId="5" builtinId="26"/>
    <cellStyle name="Normal" xfId="0" builtinId="0"/>
    <cellStyle name="Normal 2" xfId="3" xr:uid="{6559C277-3ED6-4EB5-BB42-76707B6CE3AA}"/>
    <cellStyle name="Normal_PERCENTAGE OF SUBMISSION 2010 ELECTIONS" xfId="2" xr:uid="{00000000-0005-0000-0000-000002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23FF2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C3C3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1485900</xdr:colOff>
      <xdr:row>0</xdr:row>
      <xdr:rowOff>76200</xdr:rowOff>
    </xdr:from>
    <xdr:to>
      <xdr:col>1</xdr:col>
      <xdr:colOff>1990725</xdr:colOff>
      <xdr:row>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5450" y="76200"/>
          <a:ext cx="504825" cy="457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800100</xdr:colOff>
      <xdr:row>0</xdr:row>
      <xdr:rowOff>47625</xdr:rowOff>
    </xdr:from>
    <xdr:to>
      <xdr:col>1</xdr:col>
      <xdr:colOff>1304925</xdr:colOff>
      <xdr:row>2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9650" y="47625"/>
          <a:ext cx="504825" cy="457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1063625</xdr:colOff>
      <xdr:row>0</xdr:row>
      <xdr:rowOff>39688</xdr:rowOff>
    </xdr:from>
    <xdr:to>
      <xdr:col>1</xdr:col>
      <xdr:colOff>1571625</xdr:colOff>
      <xdr:row>2</xdr:row>
      <xdr:rowOff>36513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00" y="39688"/>
          <a:ext cx="508000" cy="4572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780953</xdr:colOff>
      <xdr:row>0</xdr:row>
      <xdr:rowOff>34637</xdr:rowOff>
    </xdr:from>
    <xdr:to>
      <xdr:col>1</xdr:col>
      <xdr:colOff>1285778</xdr:colOff>
      <xdr:row>2</xdr:row>
      <xdr:rowOff>75334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2620" y="34637"/>
          <a:ext cx="504825" cy="50636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828577</xdr:colOff>
      <xdr:row>0</xdr:row>
      <xdr:rowOff>34637</xdr:rowOff>
    </xdr:from>
    <xdr:to>
      <xdr:col>1</xdr:col>
      <xdr:colOff>1438274</xdr:colOff>
      <xdr:row>3</xdr:row>
      <xdr:rowOff>136300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C42268-630C-4B71-91DB-0509AC79B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8127" y="34637"/>
          <a:ext cx="609697" cy="6445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view="pageBreakPreview" zoomScaleNormal="70" zoomScaleSheetLayoutView="100" workbookViewId="0">
      <selection activeCell="L11" sqref="L11"/>
    </sheetView>
  </sheetViews>
  <sheetFormatPr defaultColWidth="9.140625" defaultRowHeight="15" customHeight="1" x14ac:dyDescent="0.25"/>
  <cols>
    <col min="1" max="1" width="3.140625" style="86" customWidth="1"/>
    <col min="2" max="2" width="34" style="86" customWidth="1"/>
    <col min="3" max="3" width="13.85546875" style="83" hidden="1" customWidth="1"/>
    <col min="4" max="7" width="18.42578125" style="83" customWidth="1"/>
    <col min="8" max="8" width="9.140625" style="83"/>
    <col min="9" max="9" width="14.140625" style="83" customWidth="1"/>
    <col min="10" max="16384" width="9.140625" style="83"/>
  </cols>
  <sheetData>
    <row r="1" spans="1:9" s="53" customFormat="1" ht="18" customHeight="1" x14ac:dyDescent="0.25">
      <c r="A1" s="123" t="s">
        <v>0</v>
      </c>
      <c r="B1" s="123"/>
      <c r="C1" s="123"/>
      <c r="D1" s="123"/>
      <c r="E1" s="123"/>
      <c r="F1" s="123"/>
      <c r="G1" s="123"/>
    </row>
    <row r="2" spans="1:9" s="53" customFormat="1" ht="18" x14ac:dyDescent="0.25">
      <c r="A2" s="123" t="s">
        <v>1323</v>
      </c>
      <c r="B2" s="123"/>
      <c r="C2" s="123"/>
      <c r="D2" s="123"/>
      <c r="E2" s="123"/>
      <c r="F2" s="123"/>
      <c r="G2" s="123"/>
    </row>
    <row r="3" spans="1:9" s="53" customFormat="1" ht="18" x14ac:dyDescent="0.25">
      <c r="A3" s="123" t="s">
        <v>1</v>
      </c>
      <c r="B3" s="123"/>
      <c r="C3" s="123"/>
      <c r="D3" s="123"/>
      <c r="E3" s="123"/>
      <c r="F3" s="123"/>
      <c r="G3" s="123"/>
    </row>
    <row r="4" spans="1:9" ht="7.5" customHeight="1" x14ac:dyDescent="0.25">
      <c r="A4" s="81"/>
      <c r="B4" s="81"/>
      <c r="C4" s="82"/>
      <c r="D4" s="82"/>
      <c r="E4" s="82"/>
      <c r="F4" s="82"/>
      <c r="G4" s="82"/>
    </row>
    <row r="5" spans="1:9" ht="38.25" customHeight="1" x14ac:dyDescent="0.25">
      <c r="A5" s="124" t="s">
        <v>1552</v>
      </c>
      <c r="B5" s="124"/>
      <c r="C5" s="124"/>
      <c r="D5" s="124"/>
      <c r="E5" s="124"/>
      <c r="F5" s="124"/>
      <c r="G5" s="124"/>
    </row>
    <row r="6" spans="1:9" ht="35.25" customHeight="1" x14ac:dyDescent="0.25">
      <c r="A6" s="124" t="s">
        <v>1582</v>
      </c>
      <c r="B6" s="124"/>
      <c r="C6" s="124"/>
      <c r="D6" s="124"/>
      <c r="E6" s="124"/>
      <c r="F6" s="124"/>
      <c r="G6" s="124"/>
    </row>
    <row r="7" spans="1:9" ht="80.25" customHeight="1" x14ac:dyDescent="0.25">
      <c r="A7" s="125" t="s">
        <v>1550</v>
      </c>
      <c r="B7" s="125"/>
      <c r="C7" s="121"/>
      <c r="D7" s="177" t="s">
        <v>1664</v>
      </c>
      <c r="E7" s="177" t="s">
        <v>1314</v>
      </c>
      <c r="F7" s="177" t="s">
        <v>1665</v>
      </c>
      <c r="G7" s="178" t="s">
        <v>1548</v>
      </c>
    </row>
    <row r="8" spans="1:9" ht="30" customHeight="1" x14ac:dyDescent="0.25">
      <c r="A8" s="127" t="s">
        <v>1551</v>
      </c>
      <c r="B8" s="127"/>
      <c r="C8" s="117"/>
      <c r="D8" s="117">
        <v>93287</v>
      </c>
      <c r="E8" s="117">
        <v>68431965</v>
      </c>
      <c r="F8" s="117">
        <v>57070411</v>
      </c>
      <c r="G8" s="118">
        <f t="shared" ref="G8:G11" si="0">SUM(F8/E8)</f>
        <v>0.83397299785268475</v>
      </c>
      <c r="H8" s="84"/>
    </row>
    <row r="9" spans="1:9" ht="30" customHeight="1" x14ac:dyDescent="0.25">
      <c r="A9" s="128" t="s">
        <v>1659</v>
      </c>
      <c r="B9" s="128"/>
      <c r="C9" s="119"/>
      <c r="D9" s="119"/>
      <c r="E9" s="119">
        <v>1241688</v>
      </c>
      <c r="F9" s="119">
        <v>228490</v>
      </c>
      <c r="G9" s="120">
        <f t="shared" si="0"/>
        <v>0.1840156303354788</v>
      </c>
    </row>
    <row r="10" spans="1:9" ht="30" customHeight="1" x14ac:dyDescent="0.25">
      <c r="A10" s="129" t="s">
        <v>1660</v>
      </c>
      <c r="B10" s="130"/>
      <c r="C10" s="119"/>
      <c r="D10" s="119"/>
      <c r="E10" s="119"/>
      <c r="F10" s="119">
        <v>52067</v>
      </c>
      <c r="G10" s="120"/>
      <c r="I10" s="84"/>
    </row>
    <row r="11" spans="1:9" ht="30" customHeight="1" x14ac:dyDescent="0.25">
      <c r="A11" s="126" t="s">
        <v>1553</v>
      </c>
      <c r="B11" s="126"/>
      <c r="C11" s="115"/>
      <c r="D11" s="115"/>
      <c r="E11" s="115">
        <f>SUM(E8:E10)</f>
        <v>69673653</v>
      </c>
      <c r="F11" s="115">
        <f>SUM(F8:F10)</f>
        <v>57350968</v>
      </c>
      <c r="G11" s="116">
        <f>SUM(F11/E11)</f>
        <v>0.82313709028576409</v>
      </c>
    </row>
    <row r="13" spans="1:9" ht="15" customHeight="1" x14ac:dyDescent="0.25">
      <c r="A13" s="85" t="s">
        <v>1554</v>
      </c>
    </row>
    <row r="14" spans="1:9" ht="21.75" customHeight="1" x14ac:dyDescent="0.25">
      <c r="A14" s="122" t="s">
        <v>1661</v>
      </c>
      <c r="B14" s="122"/>
      <c r="C14" s="122"/>
      <c r="D14" s="122"/>
      <c r="E14" s="122"/>
      <c r="F14" s="122"/>
    </row>
  </sheetData>
  <mergeCells count="11">
    <mergeCell ref="A14:F14"/>
    <mergeCell ref="A1:G1"/>
    <mergeCell ref="A2:G2"/>
    <mergeCell ref="A3:G3"/>
    <mergeCell ref="A5:G5"/>
    <mergeCell ref="A6:G6"/>
    <mergeCell ref="A7:B7"/>
    <mergeCell ref="A11:B11"/>
    <mergeCell ref="A8:B8"/>
    <mergeCell ref="A9:B9"/>
    <mergeCell ref="A10:B10"/>
  </mergeCells>
  <printOptions horizontalCentered="1"/>
  <pageMargins left="0.25" right="0.25" top="1" bottom="1.5" header="0.3" footer="1.25"/>
  <pageSetup paperSize="9" orientation="landscape" horizontalDpi="360" verticalDpi="360" r:id="rId1"/>
  <headerFooter>
    <oddFooter>&amp;R&amp;"Tahoma,Regular"&amp;8&amp;D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2"/>
  <sheetViews>
    <sheetView tabSelected="1" zoomScaleNormal="100" zoomScaleSheetLayoutView="100" workbookViewId="0">
      <selection activeCell="A14" sqref="A14:B14"/>
    </sheetView>
  </sheetViews>
  <sheetFormatPr defaultColWidth="9.140625" defaultRowHeight="15" customHeight="1" x14ac:dyDescent="0.25"/>
  <cols>
    <col min="1" max="1" width="3.140625" style="57" customWidth="1"/>
    <col min="2" max="2" width="30" style="57" customWidth="1"/>
    <col min="3" max="3" width="15.42578125" style="56" customWidth="1"/>
    <col min="4" max="5" width="16.85546875" style="56" customWidth="1"/>
    <col min="6" max="6" width="15.42578125" style="56" customWidth="1"/>
    <col min="7" max="16384" width="9.140625" style="56"/>
  </cols>
  <sheetData>
    <row r="1" spans="1:7" s="53" customFormat="1" ht="18" customHeight="1" x14ac:dyDescent="0.25">
      <c r="A1" s="134" t="s">
        <v>0</v>
      </c>
      <c r="B1" s="134"/>
      <c r="C1" s="134"/>
      <c r="D1" s="134"/>
      <c r="E1" s="134"/>
      <c r="F1" s="134"/>
    </row>
    <row r="2" spans="1:7" s="53" customFormat="1" ht="18" x14ac:dyDescent="0.25">
      <c r="A2" s="134" t="s">
        <v>1323</v>
      </c>
      <c r="B2" s="134"/>
      <c r="C2" s="134"/>
      <c r="D2" s="134"/>
      <c r="E2" s="134"/>
      <c r="F2" s="134"/>
    </row>
    <row r="3" spans="1:7" s="53" customFormat="1" ht="18" x14ac:dyDescent="0.25">
      <c r="A3" s="134" t="s">
        <v>1</v>
      </c>
      <c r="B3" s="134"/>
      <c r="C3" s="134"/>
      <c r="D3" s="134"/>
      <c r="E3" s="134"/>
      <c r="F3" s="134"/>
    </row>
    <row r="4" spans="1:7" ht="7.5" customHeight="1" x14ac:dyDescent="0.25">
      <c r="A4" s="74"/>
      <c r="B4" s="74"/>
      <c r="C4" s="75"/>
      <c r="D4" s="75"/>
      <c r="E4" s="75"/>
      <c r="F4" s="75"/>
    </row>
    <row r="5" spans="1:7" ht="12" customHeight="1" x14ac:dyDescent="0.25">
      <c r="A5" s="135" t="s">
        <v>1326</v>
      </c>
      <c r="B5" s="135"/>
      <c r="C5" s="135"/>
      <c r="D5" s="135"/>
      <c r="E5" s="135"/>
      <c r="F5" s="135"/>
    </row>
    <row r="6" spans="1:7" ht="12" customHeight="1" x14ac:dyDescent="0.25">
      <c r="A6" s="136" t="s">
        <v>1582</v>
      </c>
      <c r="B6" s="136"/>
      <c r="C6" s="136"/>
      <c r="D6" s="136"/>
      <c r="E6" s="136"/>
      <c r="F6" s="136"/>
    </row>
    <row r="7" spans="1:7" ht="12" customHeight="1" x14ac:dyDescent="0.25">
      <c r="A7" s="71"/>
      <c r="B7" s="71"/>
      <c r="C7" s="71"/>
      <c r="D7" s="71"/>
      <c r="E7" s="71"/>
      <c r="F7" s="71"/>
    </row>
    <row r="8" spans="1:7" ht="15" customHeight="1" x14ac:dyDescent="0.25">
      <c r="A8" s="114"/>
      <c r="B8" s="58"/>
    </row>
    <row r="9" spans="1:7" ht="15" customHeight="1" x14ac:dyDescent="0.25">
      <c r="A9" s="113" t="s">
        <v>1666</v>
      </c>
      <c r="B9" s="58"/>
    </row>
    <row r="10" spans="1:7" ht="12" customHeight="1" x14ac:dyDescent="0.25">
      <c r="A10" s="160" t="s">
        <v>1325</v>
      </c>
      <c r="B10" s="160"/>
      <c r="C10" s="161" t="s">
        <v>1324</v>
      </c>
      <c r="D10" s="161" t="s">
        <v>1314</v>
      </c>
      <c r="E10" s="162" t="s">
        <v>1665</v>
      </c>
      <c r="F10" s="163" t="s">
        <v>1548</v>
      </c>
    </row>
    <row r="11" spans="1:7" ht="15" customHeight="1" x14ac:dyDescent="0.25">
      <c r="A11" s="160"/>
      <c r="B11" s="160"/>
      <c r="C11" s="161"/>
      <c r="D11" s="161"/>
      <c r="E11" s="162"/>
      <c r="F11" s="163"/>
    </row>
    <row r="12" spans="1:7" ht="15" customHeight="1" x14ac:dyDescent="0.25">
      <c r="A12" s="160"/>
      <c r="B12" s="160"/>
      <c r="C12" s="161"/>
      <c r="D12" s="161"/>
      <c r="E12" s="162"/>
      <c r="F12" s="163"/>
    </row>
    <row r="13" spans="1:7" ht="56.25" customHeight="1" x14ac:dyDescent="0.25">
      <c r="A13" s="160"/>
      <c r="B13" s="160"/>
      <c r="C13" s="161"/>
      <c r="D13" s="161"/>
      <c r="E13" s="162"/>
      <c r="F13" s="163"/>
    </row>
    <row r="14" spans="1:7" ht="35.1" customHeight="1" x14ac:dyDescent="0.25">
      <c r="A14" s="133" t="s">
        <v>3</v>
      </c>
      <c r="B14" s="133"/>
      <c r="C14" s="88">
        <f>SUM(C15:C32)</f>
        <v>93287</v>
      </c>
      <c r="D14" s="88">
        <f t="shared" ref="D14:E14" si="0">SUM(D15:D32)</f>
        <v>68431965</v>
      </c>
      <c r="E14" s="88">
        <f t="shared" si="0"/>
        <v>57070411</v>
      </c>
      <c r="F14" s="87">
        <f t="shared" ref="F14:F26" si="1">SUM(E14/D14)</f>
        <v>0.83397299785268475</v>
      </c>
      <c r="G14" s="59"/>
    </row>
    <row r="15" spans="1:7" s="73" customFormat="1" ht="24.95" customHeight="1" x14ac:dyDescent="0.25">
      <c r="A15" s="131" t="s">
        <v>4</v>
      </c>
      <c r="B15" s="131"/>
      <c r="C15" s="89">
        <f>provl_summary!C15</f>
        <v>9030</v>
      </c>
      <c r="D15" s="89">
        <f>provl_summary!D15</f>
        <v>7563520</v>
      </c>
      <c r="E15" s="89">
        <f>provl_summary!E15</f>
        <v>6040069</v>
      </c>
      <c r="F15" s="90">
        <f t="shared" si="1"/>
        <v>0.79857910073616523</v>
      </c>
    </row>
    <row r="16" spans="1:7" s="73" customFormat="1" ht="24.95" customHeight="1" x14ac:dyDescent="0.25">
      <c r="A16" s="131" t="s">
        <v>20</v>
      </c>
      <c r="B16" s="131"/>
      <c r="C16" s="89">
        <f>provl_summary!C16</f>
        <v>1963</v>
      </c>
      <c r="D16" s="89">
        <f>provl_summary!D16</f>
        <v>1105063</v>
      </c>
      <c r="E16" s="89">
        <f>provl_summary!E16</f>
        <v>946327</v>
      </c>
      <c r="F16" s="90">
        <f t="shared" si="1"/>
        <v>0.8563557009871835</v>
      </c>
    </row>
    <row r="17" spans="1:6" s="73" customFormat="1" ht="24.95" customHeight="1" x14ac:dyDescent="0.25">
      <c r="A17" s="131" t="s">
        <v>96</v>
      </c>
      <c r="B17" s="131"/>
      <c r="C17" s="89">
        <f>provl_summary!C23</f>
        <v>5337</v>
      </c>
      <c r="D17" s="89">
        <f>provl_summary!D23</f>
        <v>3633900</v>
      </c>
      <c r="E17" s="89">
        <f>provl_summary!E23</f>
        <v>3178310</v>
      </c>
      <c r="F17" s="90">
        <f t="shared" si="1"/>
        <v>0.87462781034150638</v>
      </c>
    </row>
    <row r="18" spans="1:6" s="73" customFormat="1" ht="24.95" customHeight="1" x14ac:dyDescent="0.25">
      <c r="A18" s="131" t="s">
        <v>202</v>
      </c>
      <c r="B18" s="131"/>
      <c r="C18" s="89">
        <f>provl_summary!C28</f>
        <v>3559</v>
      </c>
      <c r="D18" s="89">
        <f>provl_summary!D28</f>
        <v>2358587</v>
      </c>
      <c r="E18" s="89">
        <f>provl_summary!E28</f>
        <v>2000940</v>
      </c>
      <c r="F18" s="90">
        <f t="shared" si="1"/>
        <v>0.84836387209799768</v>
      </c>
    </row>
    <row r="19" spans="1:6" s="73" customFormat="1" ht="24.95" customHeight="1" x14ac:dyDescent="0.25">
      <c r="A19" s="131" t="s">
        <v>284</v>
      </c>
      <c r="B19" s="131"/>
      <c r="C19" s="89">
        <f>provl_summary!C34:C34</f>
        <v>9584</v>
      </c>
      <c r="D19" s="89">
        <f>provl_summary!D34:D34</f>
        <v>7699404</v>
      </c>
      <c r="E19" s="89">
        <f>provl_summary!E34:E34</f>
        <v>6527627</v>
      </c>
      <c r="F19" s="90">
        <f t="shared" si="1"/>
        <v>0.84780938888256807</v>
      </c>
    </row>
    <row r="20" spans="1:6" s="73" customFormat="1" ht="24.95" customHeight="1" x14ac:dyDescent="0.25">
      <c r="A20" s="131" t="s">
        <v>390</v>
      </c>
      <c r="B20" s="131"/>
      <c r="C20" s="89">
        <f>provl_summary!C42</f>
        <v>12346</v>
      </c>
      <c r="D20" s="89">
        <f>provl_summary!D42</f>
        <v>9714079</v>
      </c>
      <c r="E20" s="89">
        <f>provl_summary!E42</f>
        <v>7849709</v>
      </c>
      <c r="F20" s="90">
        <f t="shared" si="1"/>
        <v>0.80807547478252961</v>
      </c>
    </row>
    <row r="21" spans="1:6" s="73" customFormat="1" ht="24.95" customHeight="1" x14ac:dyDescent="0.25">
      <c r="A21" s="131" t="s">
        <v>491</v>
      </c>
      <c r="B21" s="131"/>
      <c r="C21" s="89">
        <f>provl_summary!C48</f>
        <v>2951</v>
      </c>
      <c r="D21" s="89">
        <f>provl_summary!D48</f>
        <v>2055827</v>
      </c>
      <c r="E21" s="89">
        <f>provl_summary!E48</f>
        <v>1704649</v>
      </c>
      <c r="F21" s="90">
        <f t="shared" si="1"/>
        <v>0.82917920622698316</v>
      </c>
    </row>
    <row r="22" spans="1:6" s="73" customFormat="1" ht="24.95" customHeight="1" x14ac:dyDescent="0.25">
      <c r="A22" s="131" t="s">
        <v>541</v>
      </c>
      <c r="B22" s="131"/>
      <c r="C22" s="89">
        <f>provl_summary!C54</f>
        <v>5877</v>
      </c>
      <c r="D22" s="89">
        <f>provl_summary!D54</f>
        <v>4053977</v>
      </c>
      <c r="E22" s="89">
        <f>provl_summary!E54</f>
        <v>3450811</v>
      </c>
      <c r="F22" s="90">
        <f t="shared" si="1"/>
        <v>0.85121622544972508</v>
      </c>
    </row>
    <row r="23" spans="1:6" s="73" customFormat="1" ht="24.95" customHeight="1" x14ac:dyDescent="0.25">
      <c r="A23" s="131" t="s">
        <v>625</v>
      </c>
      <c r="B23" s="131"/>
      <c r="C23" s="89">
        <f>provl_summary!C61</f>
        <v>4971</v>
      </c>
      <c r="D23" s="89">
        <f>provl_summary!D61</f>
        <v>3128562</v>
      </c>
      <c r="E23" s="89">
        <f>provl_summary!E61</f>
        <v>2686216</v>
      </c>
      <c r="F23" s="90">
        <f t="shared" si="1"/>
        <v>0.85861044147438981</v>
      </c>
    </row>
    <row r="24" spans="1:6" s="73" customFormat="1" ht="24.95" customHeight="1" x14ac:dyDescent="0.25">
      <c r="A24" s="149" t="s">
        <v>1606</v>
      </c>
      <c r="B24" s="150"/>
      <c r="C24" s="89">
        <f>provl_summary!C67</f>
        <v>3922</v>
      </c>
      <c r="D24" s="89">
        <f>provl_summary!D67</f>
        <v>3059321</v>
      </c>
      <c r="E24" s="89">
        <f>provl_summary!E67</f>
        <v>2585766</v>
      </c>
      <c r="F24" s="90">
        <f t="shared" si="1"/>
        <v>0.84520911666346876</v>
      </c>
    </row>
    <row r="25" spans="1:6" s="73" customFormat="1" ht="24.95" customHeight="1" x14ac:dyDescent="0.25">
      <c r="A25" s="131" t="s">
        <v>731</v>
      </c>
      <c r="B25" s="131"/>
      <c r="C25" s="89">
        <f>provl_summary!C71</f>
        <v>5662</v>
      </c>
      <c r="D25" s="89">
        <f>provl_summary!D71</f>
        <v>4389344</v>
      </c>
      <c r="E25" s="89">
        <f>provl_summary!E71</f>
        <v>3797086</v>
      </c>
      <c r="F25" s="90">
        <f t="shared" si="1"/>
        <v>0.86506913105921979</v>
      </c>
    </row>
    <row r="26" spans="1:6" s="73" customFormat="1" ht="24.95" customHeight="1" x14ac:dyDescent="0.25">
      <c r="A26" s="131" t="s">
        <v>828</v>
      </c>
      <c r="B26" s="131"/>
      <c r="C26" s="89">
        <f>provl_summary!C74</f>
        <v>5670</v>
      </c>
      <c r="D26" s="89">
        <f>provl_summary!D74</f>
        <v>3259554</v>
      </c>
      <c r="E26" s="89">
        <f>provl_summary!E74</f>
        <v>2747755</v>
      </c>
      <c r="F26" s="90">
        <f t="shared" si="1"/>
        <v>0.84298496051913852</v>
      </c>
    </row>
    <row r="27" spans="1:6" s="73" customFormat="1" ht="24.95" customHeight="1" x14ac:dyDescent="0.25">
      <c r="A27" s="131" t="s">
        <v>920</v>
      </c>
      <c r="B27" s="131"/>
      <c r="C27" s="89">
        <f>provl_summary!C81</f>
        <v>4048</v>
      </c>
      <c r="D27" s="89">
        <f>provl_summary!D81</f>
        <v>2869368</v>
      </c>
      <c r="E27" s="89">
        <f>provl_summary!E81</f>
        <v>2384181</v>
      </c>
      <c r="F27" s="90">
        <f t="shared" ref="F27:F32" si="2">SUM(E27/D27)</f>
        <v>0.83090806059034605</v>
      </c>
    </row>
    <row r="28" spans="1:6" s="73" customFormat="1" ht="24.95" customHeight="1" x14ac:dyDescent="0.25">
      <c r="A28" s="131" t="s">
        <v>975</v>
      </c>
      <c r="B28" s="131"/>
      <c r="C28" s="89">
        <f>provl_summary!C86</f>
        <v>4444</v>
      </c>
      <c r="D28" s="89">
        <f>provl_summary!D86</f>
        <v>3179252</v>
      </c>
      <c r="E28" s="89">
        <f>provl_summary!E86</f>
        <v>2731299</v>
      </c>
      <c r="F28" s="90">
        <f t="shared" si="2"/>
        <v>0.85910113448068914</v>
      </c>
    </row>
    <row r="29" spans="1:6" s="73" customFormat="1" ht="24.95" customHeight="1" x14ac:dyDescent="0.25">
      <c r="A29" s="131" t="s">
        <v>1049</v>
      </c>
      <c r="B29" s="131"/>
      <c r="C29" s="89">
        <f>provl_summary!C92</f>
        <v>4189</v>
      </c>
      <c r="D29" s="89">
        <f>provl_summary!D92</f>
        <v>3376470</v>
      </c>
      <c r="E29" s="89">
        <f>provl_summary!E92</f>
        <v>2779125</v>
      </c>
      <c r="F29" s="90">
        <f t="shared" si="2"/>
        <v>0.82308594478849217</v>
      </c>
    </row>
    <row r="30" spans="1:6" s="73" customFormat="1" ht="24.95" customHeight="1" x14ac:dyDescent="0.25">
      <c r="A30" s="131" t="s">
        <v>1085</v>
      </c>
      <c r="B30" s="131"/>
      <c r="C30" s="89">
        <f>provl_summary!C98</f>
        <v>3492</v>
      </c>
      <c r="D30" s="89">
        <f>provl_summary!D98</f>
        <v>2701992</v>
      </c>
      <c r="E30" s="89">
        <f>provl_summary!E98</f>
        <v>2200890</v>
      </c>
      <c r="F30" s="90">
        <f t="shared" si="2"/>
        <v>0.81454349235675017</v>
      </c>
    </row>
    <row r="31" spans="1:6" s="73" customFormat="1" ht="24.95" customHeight="1" x14ac:dyDescent="0.25">
      <c r="A31" s="131" t="s">
        <v>1118</v>
      </c>
      <c r="B31" s="131"/>
      <c r="C31" s="89">
        <f>provl_summary!C103</f>
        <v>2666</v>
      </c>
      <c r="D31" s="89">
        <f>provl_summary!D103</f>
        <v>1904917</v>
      </c>
      <c r="E31" s="89">
        <f>provl_summary!E103</f>
        <v>1613102</v>
      </c>
      <c r="F31" s="90">
        <f t="shared" si="2"/>
        <v>0.84680959852843984</v>
      </c>
    </row>
    <row r="32" spans="1:6" s="73" customFormat="1" ht="27.75" customHeight="1" x14ac:dyDescent="0.25">
      <c r="A32" s="131" t="s">
        <v>1322</v>
      </c>
      <c r="B32" s="131"/>
      <c r="C32" s="89">
        <f>provl_summary!C109</f>
        <v>3576</v>
      </c>
      <c r="D32" s="89">
        <f>provl_summary!D109</f>
        <v>2378828</v>
      </c>
      <c r="E32" s="89">
        <f>provl_summary!E109</f>
        <v>1846549</v>
      </c>
      <c r="F32" s="90">
        <f t="shared" si="2"/>
        <v>0.77624317521065</v>
      </c>
    </row>
  </sheetData>
  <mergeCells count="29">
    <mergeCell ref="F10:F13"/>
    <mergeCell ref="A1:F1"/>
    <mergeCell ref="A2:F2"/>
    <mergeCell ref="A3:F3"/>
    <mergeCell ref="A5:F5"/>
    <mergeCell ref="A6:F6"/>
    <mergeCell ref="A14:B14"/>
    <mergeCell ref="A15:B15"/>
    <mergeCell ref="A16:B16"/>
    <mergeCell ref="E10:E13"/>
    <mergeCell ref="A22:B22"/>
    <mergeCell ref="A18:B18"/>
    <mergeCell ref="A19:B19"/>
    <mergeCell ref="A20:B20"/>
    <mergeCell ref="A21:B21"/>
    <mergeCell ref="A17:B17"/>
    <mergeCell ref="A10:B13"/>
    <mergeCell ref="C10:C13"/>
    <mergeCell ref="D10:D13"/>
    <mergeCell ref="A23:B23"/>
    <mergeCell ref="A31:B31"/>
    <mergeCell ref="A32:B32"/>
    <mergeCell ref="A25:B25"/>
    <mergeCell ref="A26:B26"/>
    <mergeCell ref="A27:B27"/>
    <mergeCell ref="A28:B28"/>
    <mergeCell ref="A29:B29"/>
    <mergeCell ref="A30:B30"/>
    <mergeCell ref="A24:B24"/>
  </mergeCells>
  <printOptions horizontalCentered="1"/>
  <pageMargins left="0.23622047244094491" right="0.23622047244094491" top="0.59055118110236227" bottom="0.31496062992125984" header="0.31496062992125984" footer="1.2598425196850394"/>
  <pageSetup paperSize="9" scale="90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5"/>
  <sheetViews>
    <sheetView zoomScale="120" zoomScaleNormal="120" zoomScaleSheetLayoutView="80" workbookViewId="0">
      <selection activeCell="I90" sqref="I90"/>
    </sheetView>
  </sheetViews>
  <sheetFormatPr defaultColWidth="9.140625" defaultRowHeight="15" customHeight="1" x14ac:dyDescent="0.25"/>
  <cols>
    <col min="1" max="1" width="3.140625" style="57" customWidth="1"/>
    <col min="2" max="2" width="26.85546875" style="57" customWidth="1"/>
    <col min="3" max="6" width="13.7109375" style="56" customWidth="1"/>
    <col min="7" max="16384" width="9.140625" style="56"/>
  </cols>
  <sheetData>
    <row r="1" spans="1:7" s="53" customFormat="1" ht="18" customHeight="1" x14ac:dyDescent="0.25">
      <c r="A1" s="134" t="s">
        <v>0</v>
      </c>
      <c r="B1" s="134"/>
      <c r="C1" s="134"/>
      <c r="D1" s="134"/>
      <c r="E1" s="134"/>
      <c r="F1" s="134"/>
    </row>
    <row r="2" spans="1:7" s="53" customFormat="1" ht="18" x14ac:dyDescent="0.25">
      <c r="A2" s="134" t="s">
        <v>1323</v>
      </c>
      <c r="B2" s="134"/>
      <c r="C2" s="134"/>
      <c r="D2" s="134"/>
      <c r="E2" s="134"/>
      <c r="F2" s="134"/>
    </row>
    <row r="3" spans="1:7" s="53" customFormat="1" ht="18" x14ac:dyDescent="0.25">
      <c r="A3" s="134" t="s">
        <v>1</v>
      </c>
      <c r="B3" s="134"/>
      <c r="C3" s="134"/>
      <c r="D3" s="134"/>
      <c r="E3" s="134"/>
      <c r="F3" s="134"/>
    </row>
    <row r="4" spans="1:7" ht="7.5" customHeight="1" x14ac:dyDescent="0.25">
      <c r="A4" s="54"/>
      <c r="B4" s="54"/>
      <c r="C4" s="55"/>
      <c r="D4" s="55"/>
      <c r="E4" s="55"/>
      <c r="F4" s="55"/>
    </row>
    <row r="5" spans="1:7" ht="21.75" customHeight="1" x14ac:dyDescent="0.25">
      <c r="A5" s="138" t="s">
        <v>1318</v>
      </c>
      <c r="B5" s="138"/>
      <c r="C5" s="138"/>
      <c r="D5" s="138"/>
      <c r="E5" s="138"/>
      <c r="F5" s="138"/>
    </row>
    <row r="6" spans="1:7" ht="12" customHeight="1" x14ac:dyDescent="0.25">
      <c r="A6" s="139" t="s">
        <v>1582</v>
      </c>
      <c r="B6" s="139"/>
      <c r="C6" s="139"/>
      <c r="D6" s="139"/>
      <c r="E6" s="139"/>
      <c r="F6" s="139"/>
    </row>
    <row r="7" spans="1:7" ht="12" customHeight="1" x14ac:dyDescent="0.25">
      <c r="A7" s="71"/>
      <c r="B7" s="71"/>
      <c r="C7" s="71"/>
      <c r="D7" s="71"/>
      <c r="E7" s="71"/>
      <c r="F7" s="71"/>
    </row>
    <row r="8" spans="1:7" ht="15" customHeight="1" x14ac:dyDescent="0.25">
      <c r="A8" s="114"/>
      <c r="B8" s="58"/>
    </row>
    <row r="9" spans="1:7" ht="15" customHeight="1" x14ac:dyDescent="0.25">
      <c r="A9" s="113" t="s">
        <v>1666</v>
      </c>
      <c r="B9" s="58"/>
    </row>
    <row r="10" spans="1:7" ht="12" customHeight="1" x14ac:dyDescent="0.25">
      <c r="A10" s="132" t="s">
        <v>1315</v>
      </c>
      <c r="B10" s="132"/>
      <c r="C10" s="151" t="s">
        <v>1324</v>
      </c>
      <c r="D10" s="151" t="s">
        <v>1314</v>
      </c>
      <c r="E10" s="152" t="s">
        <v>1665</v>
      </c>
      <c r="F10" s="153" t="s">
        <v>1549</v>
      </c>
    </row>
    <row r="11" spans="1:7" ht="15" customHeight="1" x14ac:dyDescent="0.25">
      <c r="A11" s="132"/>
      <c r="B11" s="132"/>
      <c r="C11" s="151"/>
      <c r="D11" s="151"/>
      <c r="E11" s="152"/>
      <c r="F11" s="153"/>
    </row>
    <row r="12" spans="1:7" ht="15" customHeight="1" x14ac:dyDescent="0.25">
      <c r="A12" s="132"/>
      <c r="B12" s="132"/>
      <c r="C12" s="151"/>
      <c r="D12" s="151"/>
      <c r="E12" s="152"/>
      <c r="F12" s="153"/>
    </row>
    <row r="13" spans="1:7" ht="39" customHeight="1" x14ac:dyDescent="0.25">
      <c r="A13" s="132"/>
      <c r="B13" s="132"/>
      <c r="C13" s="151"/>
      <c r="D13" s="151"/>
      <c r="E13" s="152"/>
      <c r="F13" s="153"/>
    </row>
    <row r="14" spans="1:7" ht="24.95" customHeight="1" x14ac:dyDescent="0.25">
      <c r="A14" s="133" t="s">
        <v>3</v>
      </c>
      <c r="B14" s="133"/>
      <c r="C14" s="99">
        <f>SUM(C15+C16+C23+C28+C34+C42+C48+C54+C61+C67+C71+C74+C81+C86+C92+C98+C103+C109)</f>
        <v>93287</v>
      </c>
      <c r="D14" s="99">
        <f t="shared" ref="D14:E14" si="0">SUM(D15+D16+D23+D28+D34+D42+D48+D54+D61+D67+D71+D74+D81+D86+D92+D98+D103+D109)</f>
        <v>68431965</v>
      </c>
      <c r="E14" s="99">
        <f t="shared" si="0"/>
        <v>57070411</v>
      </c>
      <c r="F14" s="100">
        <f t="shared" ref="F14:F45" si="1">SUM(E14/D14)</f>
        <v>0.83397299785268475</v>
      </c>
      <c r="G14" s="59"/>
    </row>
    <row r="15" spans="1:7" ht="24.95" customHeight="1" x14ac:dyDescent="0.25">
      <c r="A15" s="137" t="s">
        <v>4</v>
      </c>
      <c r="B15" s="137"/>
      <c r="C15" s="102">
        <f>SUM(mun_coc!C14)</f>
        <v>9030</v>
      </c>
      <c r="D15" s="102">
        <f>SUM(mun_coc!D14)</f>
        <v>7563520</v>
      </c>
      <c r="E15" s="102">
        <f>SUM(mun_coc!E14)</f>
        <v>6040069</v>
      </c>
      <c r="F15" s="103">
        <f t="shared" si="1"/>
        <v>0.79857910073616523</v>
      </c>
    </row>
    <row r="16" spans="1:7" ht="24.95" customHeight="1" x14ac:dyDescent="0.25">
      <c r="A16" s="137" t="s">
        <v>20</v>
      </c>
      <c r="B16" s="137"/>
      <c r="C16" s="102">
        <f t="shared" ref="C16:E16" si="2">SUM(C17:C22)</f>
        <v>1963</v>
      </c>
      <c r="D16" s="102">
        <f t="shared" si="2"/>
        <v>1105063</v>
      </c>
      <c r="E16" s="102">
        <f t="shared" si="2"/>
        <v>946327</v>
      </c>
      <c r="F16" s="103">
        <f t="shared" si="1"/>
        <v>0.8563557009871835</v>
      </c>
    </row>
    <row r="17" spans="1:6" ht="15" customHeight="1" x14ac:dyDescent="0.25">
      <c r="A17" s="104"/>
      <c r="B17" s="105" t="s">
        <v>21</v>
      </c>
      <c r="C17" s="106">
        <f>SUM(mun_coc!C60)</f>
        <v>364</v>
      </c>
      <c r="D17" s="106">
        <f>SUM(mun_coc!D60)</f>
        <v>188957</v>
      </c>
      <c r="E17" s="106">
        <f>SUM(mun_coc!E60)</f>
        <v>172959</v>
      </c>
      <c r="F17" s="107">
        <f t="shared" si="1"/>
        <v>0.91533523500055569</v>
      </c>
    </row>
    <row r="18" spans="1:6" ht="15" customHeight="1" x14ac:dyDescent="0.25">
      <c r="A18" s="104"/>
      <c r="B18" s="105" t="s">
        <v>50</v>
      </c>
      <c r="C18" s="106">
        <f>SUM(mun_coc!C91)</f>
        <v>159</v>
      </c>
      <c r="D18" s="106">
        <f>SUM(mun_coc!D91)</f>
        <v>83441</v>
      </c>
      <c r="E18" s="106">
        <f>SUM(mun_coc!E91)</f>
        <v>72548</v>
      </c>
      <c r="F18" s="107">
        <f t="shared" si="1"/>
        <v>0.86945266715403702</v>
      </c>
    </row>
    <row r="19" spans="1:6" ht="15" customHeight="1" x14ac:dyDescent="0.25">
      <c r="A19" s="104"/>
      <c r="B19" s="105" t="s">
        <v>56</v>
      </c>
      <c r="C19" s="106">
        <f>SUM(mun_coc!C102)</f>
        <v>676</v>
      </c>
      <c r="D19" s="106">
        <f>SUM(mun_coc!D102)</f>
        <v>416145</v>
      </c>
      <c r="E19" s="106">
        <f>SUM(mun_coc!E102)</f>
        <v>343068</v>
      </c>
      <c r="F19" s="107">
        <f t="shared" si="1"/>
        <v>0.82439534296939765</v>
      </c>
    </row>
    <row r="20" spans="1:6" ht="15" customHeight="1" x14ac:dyDescent="0.25">
      <c r="A20" s="104"/>
      <c r="B20" s="105" t="s">
        <v>69</v>
      </c>
      <c r="C20" s="106">
        <f>SUM(mun_coc!C121)</f>
        <v>258</v>
      </c>
      <c r="D20" s="106">
        <f>SUM(mun_coc!D121)</f>
        <v>136318</v>
      </c>
      <c r="E20" s="106">
        <f>SUM(mun_coc!E121)</f>
        <v>117835</v>
      </c>
      <c r="F20" s="107">
        <f t="shared" si="1"/>
        <v>0.86441262342463943</v>
      </c>
    </row>
    <row r="21" spans="1:6" ht="15" customHeight="1" x14ac:dyDescent="0.25">
      <c r="A21" s="104"/>
      <c r="B21" s="105" t="s">
        <v>79</v>
      </c>
      <c r="C21" s="106">
        <f>SUM(mun_coc!C136)</f>
        <v>272</v>
      </c>
      <c r="D21" s="106">
        <f>SUM(mun_coc!D136)</f>
        <v>158555</v>
      </c>
      <c r="E21" s="106">
        <f>SUM(mun_coc!E136)</f>
        <v>140554</v>
      </c>
      <c r="F21" s="107">
        <f t="shared" si="1"/>
        <v>0.88646841789915176</v>
      </c>
    </row>
    <row r="22" spans="1:6" ht="15" customHeight="1" x14ac:dyDescent="0.25">
      <c r="A22" s="104"/>
      <c r="B22" s="105" t="s">
        <v>86</v>
      </c>
      <c r="C22" s="106">
        <f>SUM(mun_coc!C148)</f>
        <v>234</v>
      </c>
      <c r="D22" s="106">
        <f>SUM(mun_coc!D148)</f>
        <v>121647</v>
      </c>
      <c r="E22" s="106">
        <f>SUM(mun_coc!E148)</f>
        <v>99363</v>
      </c>
      <c r="F22" s="107">
        <f t="shared" si="1"/>
        <v>0.81681422476509902</v>
      </c>
    </row>
    <row r="23" spans="1:6" ht="24.95" customHeight="1" x14ac:dyDescent="0.25">
      <c r="A23" s="137" t="s">
        <v>96</v>
      </c>
      <c r="B23" s="137"/>
      <c r="C23" s="102">
        <f t="shared" ref="C23:E23" si="3">SUM(C24:C27)</f>
        <v>5337</v>
      </c>
      <c r="D23" s="102">
        <f t="shared" si="3"/>
        <v>3633900</v>
      </c>
      <c r="E23" s="102">
        <f t="shared" si="3"/>
        <v>3178310</v>
      </c>
      <c r="F23" s="103">
        <f t="shared" si="1"/>
        <v>0.87462781034150638</v>
      </c>
    </row>
    <row r="24" spans="1:6" ht="15" customHeight="1" x14ac:dyDescent="0.25">
      <c r="A24" s="104"/>
      <c r="B24" s="105" t="s">
        <v>97</v>
      </c>
      <c r="C24" s="106">
        <f>SUM(mun_coc!C163)</f>
        <v>706</v>
      </c>
      <c r="D24" s="106">
        <f>SUM(mun_coc!D163)</f>
        <v>436087</v>
      </c>
      <c r="E24" s="106">
        <f>SUM(mun_coc!E163)</f>
        <v>387957</v>
      </c>
      <c r="F24" s="107">
        <f t="shared" si="1"/>
        <v>0.88963211469271042</v>
      </c>
    </row>
    <row r="25" spans="1:6" ht="15" customHeight="1" x14ac:dyDescent="0.25">
      <c r="A25" s="104"/>
      <c r="B25" s="105" t="s">
        <v>118</v>
      </c>
      <c r="C25" s="106">
        <f>SUM(mun_coc!C189)</f>
        <v>922</v>
      </c>
      <c r="D25" s="106">
        <f>SUM(mun_coc!D189)</f>
        <v>487233</v>
      </c>
      <c r="E25" s="106">
        <f>SUM(mun_coc!E189)</f>
        <v>432555</v>
      </c>
      <c r="F25" s="107">
        <f t="shared" si="1"/>
        <v>0.887778537168049</v>
      </c>
    </row>
    <row r="26" spans="1:6" ht="15" customHeight="1" x14ac:dyDescent="0.25">
      <c r="A26" s="104"/>
      <c r="B26" s="105" t="s">
        <v>146</v>
      </c>
      <c r="C26" s="106">
        <f>SUM(mun_coc!C226)</f>
        <v>840</v>
      </c>
      <c r="D26" s="106">
        <f>SUM(mun_coc!D226)</f>
        <v>554274</v>
      </c>
      <c r="E26" s="106">
        <f>SUM(mun_coc!E226)</f>
        <v>487073</v>
      </c>
      <c r="F26" s="107">
        <f t="shared" si="1"/>
        <v>0.8787585201542919</v>
      </c>
    </row>
    <row r="27" spans="1:6" ht="15" customHeight="1" x14ac:dyDescent="0.25">
      <c r="A27" s="104"/>
      <c r="B27" s="105" t="s">
        <v>163</v>
      </c>
      <c r="C27" s="106">
        <f>SUM(mun_coc!C249)</f>
        <v>2869</v>
      </c>
      <c r="D27" s="106">
        <f>SUM(mun_coc!D249)</f>
        <v>2156306</v>
      </c>
      <c r="E27" s="106">
        <f>SUM(mun_coc!E249)</f>
        <v>1870725</v>
      </c>
      <c r="F27" s="107">
        <f t="shared" si="1"/>
        <v>0.86756007728031181</v>
      </c>
    </row>
    <row r="28" spans="1:6" ht="24.95" customHeight="1" x14ac:dyDescent="0.25">
      <c r="A28" s="137" t="s">
        <v>202</v>
      </c>
      <c r="B28" s="137"/>
      <c r="C28" s="102">
        <f t="shared" ref="C28:E28" si="4">SUM(C29:C33)</f>
        <v>3559</v>
      </c>
      <c r="D28" s="102">
        <f t="shared" si="4"/>
        <v>2358587</v>
      </c>
      <c r="E28" s="102">
        <f t="shared" si="4"/>
        <v>2000940</v>
      </c>
      <c r="F28" s="103">
        <f t="shared" si="1"/>
        <v>0.84836387209799768</v>
      </c>
    </row>
    <row r="29" spans="1:6" ht="15" customHeight="1" x14ac:dyDescent="0.25">
      <c r="A29" s="105"/>
      <c r="B29" s="105" t="s">
        <v>203</v>
      </c>
      <c r="C29" s="106">
        <f>SUM(mun_coc!C305)</f>
        <v>33</v>
      </c>
      <c r="D29" s="106">
        <f>SUM(mun_coc!D305)</f>
        <v>13655</v>
      </c>
      <c r="E29" s="106">
        <f>SUM(mun_coc!E305)</f>
        <v>11488</v>
      </c>
      <c r="F29" s="107">
        <f t="shared" si="1"/>
        <v>0.84130355181252292</v>
      </c>
    </row>
    <row r="30" spans="1:6" ht="15" customHeight="1" x14ac:dyDescent="0.25">
      <c r="A30" s="105"/>
      <c r="B30" s="105" t="s">
        <v>209</v>
      </c>
      <c r="C30" s="106">
        <f>SUM(mun_coc!C315)</f>
        <v>1201</v>
      </c>
      <c r="D30" s="106">
        <f>SUM(mun_coc!D315)</f>
        <v>785994</v>
      </c>
      <c r="E30" s="106">
        <f>SUM(mun_coc!E315)</f>
        <v>674064</v>
      </c>
      <c r="F30" s="107">
        <f t="shared" si="1"/>
        <v>0.85759433278116626</v>
      </c>
    </row>
    <row r="31" spans="1:6" ht="15" customHeight="1" x14ac:dyDescent="0.25">
      <c r="A31" s="105"/>
      <c r="B31" s="105" t="s">
        <v>236</v>
      </c>
      <c r="C31" s="106">
        <f>SUM(mun_coc!C348)</f>
        <v>1671</v>
      </c>
      <c r="D31" s="106">
        <f>SUM(mun_coc!D348)</f>
        <v>1125541</v>
      </c>
      <c r="E31" s="106">
        <f>SUM(mun_coc!E348)</f>
        <v>944829</v>
      </c>
      <c r="F31" s="107">
        <f t="shared" si="1"/>
        <v>0.83944432055340501</v>
      </c>
    </row>
    <row r="32" spans="1:6" ht="15" customHeight="1" x14ac:dyDescent="0.25">
      <c r="A32" s="105"/>
      <c r="B32" s="105" t="s">
        <v>264</v>
      </c>
      <c r="C32" s="106">
        <f>SUM(mun_coc!C392)</f>
        <v>452</v>
      </c>
      <c r="D32" s="106">
        <f>SUM(mun_coc!D392)</f>
        <v>303090</v>
      </c>
      <c r="E32" s="106">
        <f>SUM(mun_coc!E392)</f>
        <v>258249</v>
      </c>
      <c r="F32" s="107">
        <f t="shared" si="1"/>
        <v>0.85205384539245765</v>
      </c>
    </row>
    <row r="33" spans="1:6" ht="15" customHeight="1" x14ac:dyDescent="0.25">
      <c r="A33" s="105"/>
      <c r="B33" s="105" t="s">
        <v>278</v>
      </c>
      <c r="C33" s="106">
        <f>SUM(mun_coc!C411)</f>
        <v>202</v>
      </c>
      <c r="D33" s="106">
        <f>SUM(mun_coc!D411)</f>
        <v>130307</v>
      </c>
      <c r="E33" s="106">
        <f>SUM(mun_coc!E411)</f>
        <v>112310</v>
      </c>
      <c r="F33" s="107">
        <f t="shared" si="1"/>
        <v>0.86188769597949455</v>
      </c>
    </row>
    <row r="34" spans="1:6" ht="24.95" customHeight="1" x14ac:dyDescent="0.25">
      <c r="A34" s="137" t="s">
        <v>284</v>
      </c>
      <c r="B34" s="137"/>
      <c r="C34" s="102">
        <f t="shared" ref="C34:E34" si="5">SUM(C35:C41)</f>
        <v>9584</v>
      </c>
      <c r="D34" s="102">
        <f t="shared" si="5"/>
        <v>7699404</v>
      </c>
      <c r="E34" s="102">
        <f t="shared" si="5"/>
        <v>6527627</v>
      </c>
      <c r="F34" s="103">
        <f t="shared" si="1"/>
        <v>0.84780938888256807</v>
      </c>
    </row>
    <row r="35" spans="1:6" ht="15" customHeight="1" x14ac:dyDescent="0.25">
      <c r="A35" s="105"/>
      <c r="B35" s="105" t="s">
        <v>285</v>
      </c>
      <c r="C35" s="106">
        <f>SUM(mun_coc!C422)</f>
        <v>231</v>
      </c>
      <c r="D35" s="106">
        <f>SUM(mun_coc!D422)</f>
        <v>157240</v>
      </c>
      <c r="E35" s="106">
        <f>SUM(mun_coc!E422)</f>
        <v>128993</v>
      </c>
      <c r="F35" s="107">
        <f t="shared" si="1"/>
        <v>0.82035741541592466</v>
      </c>
    </row>
    <row r="36" spans="1:6" ht="15" customHeight="1" x14ac:dyDescent="0.25">
      <c r="A36" s="105"/>
      <c r="B36" s="105" t="s">
        <v>293</v>
      </c>
      <c r="C36" s="106">
        <f>SUM(mun_coc!C434)</f>
        <v>739</v>
      </c>
      <c r="D36" s="106">
        <f>SUM(mun_coc!D434)</f>
        <v>586044</v>
      </c>
      <c r="E36" s="106">
        <f>SUM(mun_coc!E434)</f>
        <v>495413</v>
      </c>
      <c r="F36" s="107">
        <f t="shared" si="1"/>
        <v>0.84535120229880345</v>
      </c>
    </row>
    <row r="37" spans="1:6" ht="15" customHeight="1" x14ac:dyDescent="0.25">
      <c r="A37" s="105"/>
      <c r="B37" s="105" t="s">
        <v>303</v>
      </c>
      <c r="C37" s="106">
        <f>SUM(mun_coc!C450)</f>
        <v>2551</v>
      </c>
      <c r="D37" s="106">
        <f>SUM(mun_coc!D450)</f>
        <v>2173026</v>
      </c>
      <c r="E37" s="106">
        <f>SUM(mun_coc!E450)</f>
        <v>1847816</v>
      </c>
      <c r="F37" s="107">
        <f t="shared" si="1"/>
        <v>0.85034233368583712</v>
      </c>
    </row>
    <row r="38" spans="1:6" ht="15" customHeight="1" x14ac:dyDescent="0.25">
      <c r="A38" s="105"/>
      <c r="B38" s="105" t="s">
        <v>322</v>
      </c>
      <c r="C38" s="106">
        <f>SUM(mun_coc!C482)</f>
        <v>2080</v>
      </c>
      <c r="D38" s="106">
        <f>SUM(mun_coc!D482)</f>
        <v>1620166</v>
      </c>
      <c r="E38" s="106">
        <f>SUM(mun_coc!E482)</f>
        <v>1349950</v>
      </c>
      <c r="F38" s="107">
        <f t="shared" si="1"/>
        <v>0.83321709010064404</v>
      </c>
    </row>
    <row r="39" spans="1:6" ht="15" customHeight="1" x14ac:dyDescent="0.25">
      <c r="A39" s="105"/>
      <c r="B39" s="105" t="s">
        <v>346</v>
      </c>
      <c r="C39" s="106">
        <f>SUM(mun_coc!C519)</f>
        <v>2066</v>
      </c>
      <c r="D39" s="106">
        <f>SUM(mun_coc!D519)</f>
        <v>1674789</v>
      </c>
      <c r="E39" s="106">
        <f>SUM(mun_coc!E519)</f>
        <v>1418533</v>
      </c>
      <c r="F39" s="107">
        <f t="shared" si="1"/>
        <v>0.84699206885165834</v>
      </c>
    </row>
    <row r="40" spans="1:6" ht="15" customHeight="1" x14ac:dyDescent="0.25">
      <c r="A40" s="105"/>
      <c r="B40" s="105" t="s">
        <v>363</v>
      </c>
      <c r="C40" s="106">
        <f>SUM(mun_coc!C546)</f>
        <v>1220</v>
      </c>
      <c r="D40" s="106">
        <f>SUM(mun_coc!D546)</f>
        <v>936003</v>
      </c>
      <c r="E40" s="106">
        <f>SUM(mun_coc!E546)</f>
        <v>827669</v>
      </c>
      <c r="F40" s="107">
        <f t="shared" si="1"/>
        <v>0.88425891797355349</v>
      </c>
    </row>
    <row r="41" spans="1:6" ht="15" customHeight="1" x14ac:dyDescent="0.25">
      <c r="A41" s="105"/>
      <c r="B41" s="105" t="s">
        <v>379</v>
      </c>
      <c r="C41" s="106">
        <f>SUM(mun_coc!C568)</f>
        <v>697</v>
      </c>
      <c r="D41" s="106">
        <f>SUM(mun_coc!D568)</f>
        <v>552136</v>
      </c>
      <c r="E41" s="106">
        <f>SUM(mun_coc!E568)</f>
        <v>459253</v>
      </c>
      <c r="F41" s="107">
        <f t="shared" si="1"/>
        <v>0.83177514235623107</v>
      </c>
    </row>
    <row r="42" spans="1:6" ht="24.95" customHeight="1" x14ac:dyDescent="0.25">
      <c r="A42" s="137" t="s">
        <v>390</v>
      </c>
      <c r="B42" s="137"/>
      <c r="C42" s="102">
        <f t="shared" ref="C42:E42" si="6">SUM(C43:C47)</f>
        <v>12346</v>
      </c>
      <c r="D42" s="102">
        <f t="shared" si="6"/>
        <v>9714079</v>
      </c>
      <c r="E42" s="102">
        <f t="shared" si="6"/>
        <v>7849709</v>
      </c>
      <c r="F42" s="103">
        <f t="shared" si="1"/>
        <v>0.80807547478252961</v>
      </c>
    </row>
    <row r="43" spans="1:6" ht="15" customHeight="1" x14ac:dyDescent="0.25">
      <c r="A43" s="104"/>
      <c r="B43" s="105" t="s">
        <v>391</v>
      </c>
      <c r="C43" s="106">
        <f>SUM(mun_coc!C586)</f>
        <v>2569</v>
      </c>
      <c r="D43" s="106">
        <f>SUM(mun_coc!D586)</f>
        <v>1958794</v>
      </c>
      <c r="E43" s="106">
        <f>SUM(mun_coc!E586)</f>
        <v>1697672</v>
      </c>
      <c r="F43" s="107">
        <f t="shared" si="1"/>
        <v>0.86669246485337403</v>
      </c>
    </row>
    <row r="44" spans="1:6" ht="15" customHeight="1" x14ac:dyDescent="0.25">
      <c r="A44" s="104"/>
      <c r="B44" s="105" t="s">
        <v>414</v>
      </c>
      <c r="C44" s="106">
        <f>SUM(mun_coc!C627)</f>
        <v>2991</v>
      </c>
      <c r="D44" s="106">
        <f>SUM(mun_coc!D627)</f>
        <v>2447362</v>
      </c>
      <c r="E44" s="106">
        <f>SUM(mun_coc!E627)</f>
        <v>1923752</v>
      </c>
      <c r="F44" s="107">
        <f t="shared" si="1"/>
        <v>0.78605126662912961</v>
      </c>
    </row>
    <row r="45" spans="1:6" ht="15" customHeight="1" x14ac:dyDescent="0.25">
      <c r="A45" s="104"/>
      <c r="B45" s="105" t="s">
        <v>428</v>
      </c>
      <c r="C45" s="106">
        <f>SUM(mun_coc!C659)</f>
        <v>2626</v>
      </c>
      <c r="D45" s="106">
        <f>SUM(mun_coc!D659)</f>
        <v>2140124</v>
      </c>
      <c r="E45" s="106">
        <f>SUM(mun_coc!E659)</f>
        <v>1700629</v>
      </c>
      <c r="F45" s="107">
        <f t="shared" si="1"/>
        <v>0.79464040401397307</v>
      </c>
    </row>
    <row r="46" spans="1:6" ht="15" customHeight="1" x14ac:dyDescent="0.25">
      <c r="A46" s="104"/>
      <c r="B46" s="105" t="s">
        <v>448</v>
      </c>
      <c r="C46" s="106">
        <f>SUM(mun_coc!C697)</f>
        <v>2207</v>
      </c>
      <c r="D46" s="106">
        <f>SUM(mun_coc!D697)</f>
        <v>1496156</v>
      </c>
      <c r="E46" s="106">
        <f>SUM(mun_coc!E697)</f>
        <v>1252204</v>
      </c>
      <c r="F46" s="107">
        <f t="shared" ref="F46:F78" si="7">SUM(E46/D46)</f>
        <v>0.83694748408588404</v>
      </c>
    </row>
    <row r="47" spans="1:6" ht="15" customHeight="1" x14ac:dyDescent="0.25">
      <c r="A47" s="104"/>
      <c r="B47" s="105" t="s">
        <v>480</v>
      </c>
      <c r="C47" s="106">
        <f>SUM(mun_coc!C743)</f>
        <v>1953</v>
      </c>
      <c r="D47" s="106">
        <f>SUM(mun_coc!D743)</f>
        <v>1671643</v>
      </c>
      <c r="E47" s="106">
        <f>SUM(mun_coc!E743)</f>
        <v>1275452</v>
      </c>
      <c r="F47" s="107">
        <f t="shared" si="7"/>
        <v>0.76299305533537964</v>
      </c>
    </row>
    <row r="48" spans="1:6" ht="24.95" customHeight="1" x14ac:dyDescent="0.25">
      <c r="A48" s="137" t="s">
        <v>491</v>
      </c>
      <c r="B48" s="137"/>
      <c r="C48" s="102">
        <f t="shared" ref="C48:E48" si="8">SUM(C49:C53)</f>
        <v>2951</v>
      </c>
      <c r="D48" s="102">
        <f t="shared" si="8"/>
        <v>2055827</v>
      </c>
      <c r="E48" s="102">
        <f t="shared" si="8"/>
        <v>1704649</v>
      </c>
      <c r="F48" s="103">
        <f t="shared" si="7"/>
        <v>0.82917920622698316</v>
      </c>
    </row>
    <row r="49" spans="1:6" ht="15" customHeight="1" x14ac:dyDescent="0.25">
      <c r="A49" s="104"/>
      <c r="B49" s="105" t="s">
        <v>492</v>
      </c>
      <c r="C49" s="106">
        <f>SUM(mun_coc!C766)</f>
        <v>281</v>
      </c>
      <c r="D49" s="106">
        <f>SUM(mun_coc!D766)</f>
        <v>165436</v>
      </c>
      <c r="E49" s="106">
        <f>SUM(mun_coc!E766)</f>
        <v>142016</v>
      </c>
      <c r="F49" s="107">
        <f t="shared" si="7"/>
        <v>0.85843468168959602</v>
      </c>
    </row>
    <row r="50" spans="1:6" ht="15" customHeight="1" x14ac:dyDescent="0.25">
      <c r="A50" s="104"/>
      <c r="B50" s="105" t="s">
        <v>496</v>
      </c>
      <c r="C50" s="106">
        <f>SUM(mun_coc!C776)</f>
        <v>442</v>
      </c>
      <c r="D50" s="106">
        <f>SUM(mun_coc!D776)</f>
        <v>321699</v>
      </c>
      <c r="E50" s="106">
        <f>SUM(mun_coc!E776)</f>
        <v>256034</v>
      </c>
      <c r="F50" s="107">
        <f t="shared" si="7"/>
        <v>0.79588062132614645</v>
      </c>
    </row>
    <row r="51" spans="1:6" ht="15" customHeight="1" x14ac:dyDescent="0.25">
      <c r="A51" s="104"/>
      <c r="B51" s="105" t="s">
        <v>504</v>
      </c>
      <c r="C51" s="106">
        <f>SUM(mun_coc!C791)</f>
        <v>812</v>
      </c>
      <c r="D51" s="106">
        <f>SUM(mun_coc!D791)</f>
        <v>569601</v>
      </c>
      <c r="E51" s="106">
        <f>SUM(mun_coc!E791)</f>
        <v>465934</v>
      </c>
      <c r="F51" s="107">
        <f t="shared" si="7"/>
        <v>0.81800067064489002</v>
      </c>
    </row>
    <row r="52" spans="1:6" ht="15" customHeight="1" x14ac:dyDescent="0.25">
      <c r="A52" s="104"/>
      <c r="B52" s="105" t="s">
        <v>516</v>
      </c>
      <c r="C52" s="106">
        <f>SUM(mun_coc!C809)</f>
        <v>1087</v>
      </c>
      <c r="D52" s="106">
        <f>SUM(mun_coc!D809)</f>
        <v>787755</v>
      </c>
      <c r="E52" s="106">
        <f>SUM(mun_coc!E809)</f>
        <v>661865</v>
      </c>
      <c r="F52" s="107">
        <f t="shared" si="7"/>
        <v>0.84019143007661012</v>
      </c>
    </row>
    <row r="53" spans="1:6" ht="15" customHeight="1" x14ac:dyDescent="0.25">
      <c r="A53" s="104"/>
      <c r="B53" s="105" t="s">
        <v>532</v>
      </c>
      <c r="C53" s="106">
        <f>SUM(mun_coc!C837)</f>
        <v>329</v>
      </c>
      <c r="D53" s="106">
        <f>SUM(mun_coc!D837)</f>
        <v>211336</v>
      </c>
      <c r="E53" s="106">
        <f>SUM(mun_coc!E837)</f>
        <v>178800</v>
      </c>
      <c r="F53" s="107">
        <f t="shared" si="7"/>
        <v>0.84604610667373281</v>
      </c>
    </row>
    <row r="54" spans="1:6" ht="24.95" customHeight="1" x14ac:dyDescent="0.25">
      <c r="A54" s="137" t="s">
        <v>541</v>
      </c>
      <c r="B54" s="137"/>
      <c r="C54" s="102">
        <f t="shared" ref="C54:E54" si="9">SUM(C55:C60)</f>
        <v>5877</v>
      </c>
      <c r="D54" s="102">
        <f t="shared" si="9"/>
        <v>4053977</v>
      </c>
      <c r="E54" s="102">
        <f t="shared" si="9"/>
        <v>3450811</v>
      </c>
      <c r="F54" s="103">
        <f t="shared" si="7"/>
        <v>0.85121622544972508</v>
      </c>
    </row>
    <row r="55" spans="1:6" ht="15" customHeight="1" x14ac:dyDescent="0.25">
      <c r="A55" s="101"/>
      <c r="B55" s="108" t="s">
        <v>542</v>
      </c>
      <c r="C55" s="106">
        <f>SUM(mun_coc!C859)</f>
        <v>1326</v>
      </c>
      <c r="D55" s="106">
        <f>SUM(mun_coc!D859)</f>
        <v>940114</v>
      </c>
      <c r="E55" s="106">
        <f>SUM(mun_coc!E859)</f>
        <v>840183</v>
      </c>
      <c r="F55" s="107">
        <f t="shared" si="7"/>
        <v>0.8937033168317885</v>
      </c>
    </row>
    <row r="56" spans="1:6" ht="15" customHeight="1" x14ac:dyDescent="0.25">
      <c r="A56" s="104"/>
      <c r="B56" s="105" t="s">
        <v>555</v>
      </c>
      <c r="C56" s="106">
        <f>SUM(mun_coc!C881)</f>
        <v>538</v>
      </c>
      <c r="D56" s="106">
        <f>SUM(mun_coc!D881)</f>
        <v>396583</v>
      </c>
      <c r="E56" s="106">
        <f>SUM(mun_coc!E881)</f>
        <v>338181</v>
      </c>
      <c r="F56" s="107">
        <f t="shared" si="7"/>
        <v>0.85273700587266721</v>
      </c>
    </row>
    <row r="57" spans="1:6" ht="15" customHeight="1" x14ac:dyDescent="0.25">
      <c r="A57" s="104"/>
      <c r="B57" s="105" t="s">
        <v>564</v>
      </c>
      <c r="C57" s="106">
        <f>SUM(mun_coc!C896)</f>
        <v>1925</v>
      </c>
      <c r="D57" s="106">
        <f>SUM(mun_coc!D896)</f>
        <v>1344062</v>
      </c>
      <c r="E57" s="106">
        <f>SUM(mun_coc!E896)</f>
        <v>1132355</v>
      </c>
      <c r="F57" s="107">
        <f t="shared" si="7"/>
        <v>0.84248717693082609</v>
      </c>
    </row>
    <row r="58" spans="1:6" ht="15" customHeight="1" x14ac:dyDescent="0.25">
      <c r="A58" s="104"/>
      <c r="B58" s="105" t="s">
        <v>591</v>
      </c>
      <c r="C58" s="106">
        <f>SUM(mun_coc!C939)</f>
        <v>365</v>
      </c>
      <c r="D58" s="106">
        <f>SUM(mun_coc!D939)</f>
        <v>200804</v>
      </c>
      <c r="E58" s="106">
        <f>SUM(mun_coc!E939)</f>
        <v>173897</v>
      </c>
      <c r="F58" s="107">
        <f t="shared" si="7"/>
        <v>0.86600366526563211</v>
      </c>
    </row>
    <row r="59" spans="1:6" ht="15" customHeight="1" x14ac:dyDescent="0.25">
      <c r="A59" s="104"/>
      <c r="B59" s="105" t="s">
        <v>597</v>
      </c>
      <c r="C59" s="106">
        <f>SUM(mun_coc!C954)</f>
        <v>883</v>
      </c>
      <c r="D59" s="106">
        <f>SUM(mun_coc!D954)</f>
        <v>619174</v>
      </c>
      <c r="E59" s="106">
        <f>SUM(mun_coc!E954)</f>
        <v>490864</v>
      </c>
      <c r="F59" s="107">
        <f t="shared" si="7"/>
        <v>0.79277230633069218</v>
      </c>
    </row>
    <row r="60" spans="1:6" ht="15" customHeight="1" x14ac:dyDescent="0.25">
      <c r="A60" s="104"/>
      <c r="B60" s="105" t="s">
        <v>613</v>
      </c>
      <c r="C60" s="106">
        <f>SUM(mun_coc!C979)</f>
        <v>840</v>
      </c>
      <c r="D60" s="106">
        <f>SUM(mun_coc!D979)</f>
        <v>553240</v>
      </c>
      <c r="E60" s="106">
        <f>SUM(mun_coc!E979)</f>
        <v>475331</v>
      </c>
      <c r="F60" s="107">
        <f t="shared" si="7"/>
        <v>0.85917684910707826</v>
      </c>
    </row>
    <row r="61" spans="1:6" ht="24.95" customHeight="1" x14ac:dyDescent="0.25">
      <c r="A61" s="137" t="s">
        <v>625</v>
      </c>
      <c r="B61" s="137"/>
      <c r="C61" s="102">
        <f>SUM(C62:C66)</f>
        <v>4971</v>
      </c>
      <c r="D61" s="102">
        <f t="shared" ref="D61:E61" si="10">SUM(D62:D66)</f>
        <v>3128562</v>
      </c>
      <c r="E61" s="102">
        <f t="shared" si="10"/>
        <v>2686216</v>
      </c>
      <c r="F61" s="103">
        <f t="shared" si="7"/>
        <v>0.85861044147438981</v>
      </c>
    </row>
    <row r="62" spans="1:6" ht="15" customHeight="1" x14ac:dyDescent="0.25">
      <c r="A62" s="105"/>
      <c r="B62" s="105" t="s">
        <v>626</v>
      </c>
      <c r="C62" s="106">
        <f>SUM(mun_coc!C998)</f>
        <v>603</v>
      </c>
      <c r="D62" s="106">
        <f>SUM(mun_coc!D998)</f>
        <v>414890</v>
      </c>
      <c r="E62" s="106">
        <f>SUM(mun_coc!E998)</f>
        <v>361163</v>
      </c>
      <c r="F62" s="107">
        <f t="shared" si="7"/>
        <v>0.87050302489816578</v>
      </c>
    </row>
    <row r="63" spans="1:6" ht="15" customHeight="1" x14ac:dyDescent="0.25">
      <c r="A63" s="105"/>
      <c r="B63" s="105" t="s">
        <v>641</v>
      </c>
      <c r="C63" s="106">
        <f>SUM(mun_coc!C1018)</f>
        <v>730</v>
      </c>
      <c r="D63" s="106">
        <f>SUM(mun_coc!D1018)</f>
        <v>399553</v>
      </c>
      <c r="E63" s="106">
        <f>SUM(mun_coc!E1018)</f>
        <v>350462</v>
      </c>
      <c r="F63" s="107">
        <f t="shared" si="7"/>
        <v>0.87713519858441813</v>
      </c>
    </row>
    <row r="64" spans="1:6" ht="15" customHeight="1" x14ac:dyDescent="0.25">
      <c r="A64" s="105"/>
      <c r="B64" s="105" t="s">
        <v>657</v>
      </c>
      <c r="C64" s="106">
        <f>SUM(mun_coc!C1040)</f>
        <v>773</v>
      </c>
      <c r="D64" s="106">
        <f>SUM(mun_coc!D1040)</f>
        <v>539459</v>
      </c>
      <c r="E64" s="106">
        <f>SUM(mun_coc!E1040)</f>
        <v>463886</v>
      </c>
      <c r="F64" s="107">
        <f t="shared" si="7"/>
        <v>0.85990965022364996</v>
      </c>
    </row>
    <row r="65" spans="1:6" ht="15" customHeight="1" x14ac:dyDescent="0.25">
      <c r="A65" s="105"/>
      <c r="B65" s="105" t="s">
        <v>673</v>
      </c>
      <c r="C65" s="109">
        <f>mun_coc!C1060</f>
        <v>177</v>
      </c>
      <c r="D65" s="109">
        <f>mun_coc!D1060</f>
        <v>124930</v>
      </c>
      <c r="E65" s="109">
        <f>mun_coc!E1060</f>
        <v>109148</v>
      </c>
      <c r="F65" s="107">
        <f t="shared" si="7"/>
        <v>0.87367325702393339</v>
      </c>
    </row>
    <row r="66" spans="1:6" ht="15" customHeight="1" x14ac:dyDescent="0.25">
      <c r="A66" s="105"/>
      <c r="B66" s="105" t="s">
        <v>677</v>
      </c>
      <c r="C66" s="106">
        <f>SUM(mun_coc!C1069)</f>
        <v>2688</v>
      </c>
      <c r="D66" s="106">
        <f>SUM(mun_coc!D1069)</f>
        <v>1649730</v>
      </c>
      <c r="E66" s="106">
        <f>SUM(mun_coc!E1069)</f>
        <v>1401557</v>
      </c>
      <c r="F66" s="107">
        <f t="shared" si="7"/>
        <v>0.84956750498566436</v>
      </c>
    </row>
    <row r="67" spans="1:6" ht="24.95" customHeight="1" x14ac:dyDescent="0.25">
      <c r="A67" s="137" t="s">
        <v>1606</v>
      </c>
      <c r="B67" s="137"/>
      <c r="C67" s="102">
        <f>SUM(C68:C70)</f>
        <v>3922</v>
      </c>
      <c r="D67" s="102">
        <f t="shared" ref="D67:E67" si="11">SUM(D68:D70)</f>
        <v>3059321</v>
      </c>
      <c r="E67" s="102">
        <f t="shared" si="11"/>
        <v>2585766</v>
      </c>
      <c r="F67" s="103">
        <f t="shared" si="7"/>
        <v>0.84520911666346876</v>
      </c>
    </row>
    <row r="68" spans="1:6" ht="15" customHeight="1" x14ac:dyDescent="0.25">
      <c r="A68" s="105"/>
      <c r="B68" s="105" t="s">
        <v>714</v>
      </c>
      <c r="C68" s="106">
        <f>SUM(mun_coc!C1121)</f>
        <v>2484</v>
      </c>
      <c r="D68" s="106">
        <f>SUM(mun_coc!D1121)</f>
        <v>2001732</v>
      </c>
      <c r="E68" s="106">
        <f>SUM(mun_coc!E1121)</f>
        <v>1679045</v>
      </c>
      <c r="F68" s="107">
        <f t="shared" si="7"/>
        <v>0.8387961025751699</v>
      </c>
    </row>
    <row r="69" spans="1:6" ht="15" customHeight="1" x14ac:dyDescent="0.25">
      <c r="A69" s="105"/>
      <c r="B69" s="105" t="s">
        <v>809</v>
      </c>
      <c r="C69" s="106">
        <f>mun_coc!C1161</f>
        <v>1289</v>
      </c>
      <c r="D69" s="106">
        <f>mun_coc!D1161</f>
        <v>976185</v>
      </c>
      <c r="E69" s="106">
        <f>mun_coc!E1161</f>
        <v>831963</v>
      </c>
      <c r="F69" s="107">
        <f>SUM(E69/D69)</f>
        <v>0.85225956145607651</v>
      </c>
    </row>
    <row r="70" spans="1:6" ht="15" customHeight="1" x14ac:dyDescent="0.25">
      <c r="A70" s="105"/>
      <c r="B70" s="105" t="s">
        <v>823</v>
      </c>
      <c r="C70" s="106">
        <f>mun_coc!C1190</f>
        <v>149</v>
      </c>
      <c r="D70" s="106">
        <f>mun_coc!D1190</f>
        <v>81404</v>
      </c>
      <c r="E70" s="106">
        <f>mun_coc!E1190</f>
        <v>74758</v>
      </c>
      <c r="F70" s="107">
        <f>SUM(E70/D70)</f>
        <v>0.91835782025453294</v>
      </c>
    </row>
    <row r="71" spans="1:6" ht="24.95" customHeight="1" x14ac:dyDescent="0.25">
      <c r="A71" s="137" t="s">
        <v>731</v>
      </c>
      <c r="B71" s="137"/>
      <c r="C71" s="102">
        <f>SUM(C72:C73)</f>
        <v>5662</v>
      </c>
      <c r="D71" s="102">
        <f>SUM(D72:D73)</f>
        <v>4389344</v>
      </c>
      <c r="E71" s="102">
        <f>SUM(E72:E73)</f>
        <v>3797086</v>
      </c>
      <c r="F71" s="103">
        <f t="shared" si="7"/>
        <v>0.86506913105921979</v>
      </c>
    </row>
    <row r="72" spans="1:6" ht="15" customHeight="1" x14ac:dyDescent="0.25">
      <c r="A72" s="105"/>
      <c r="B72" s="105" t="s">
        <v>732</v>
      </c>
      <c r="C72" s="106">
        <f>SUM(mun_coc!C1201)</f>
        <v>1542</v>
      </c>
      <c r="D72" s="106">
        <f>SUM(mun_coc!D1201)</f>
        <v>981564</v>
      </c>
      <c r="E72" s="106">
        <f>SUM(mun_coc!E1201)</f>
        <v>862231</v>
      </c>
      <c r="F72" s="107">
        <f t="shared" si="7"/>
        <v>0.87842565538263429</v>
      </c>
    </row>
    <row r="73" spans="1:6" ht="15" customHeight="1" x14ac:dyDescent="0.25">
      <c r="A73" s="105"/>
      <c r="B73" s="105" t="s">
        <v>769</v>
      </c>
      <c r="C73" s="106">
        <f>SUM(mun_coc!C1253)</f>
        <v>4120</v>
      </c>
      <c r="D73" s="106">
        <f>SUM(mun_coc!D1253)</f>
        <v>3407780</v>
      </c>
      <c r="E73" s="106">
        <f>SUM(mun_coc!E1253)</f>
        <v>2934855</v>
      </c>
      <c r="F73" s="107">
        <f t="shared" si="7"/>
        <v>0.8612219685543081</v>
      </c>
    </row>
    <row r="74" spans="1:6" ht="24.95" customHeight="1" x14ac:dyDescent="0.25">
      <c r="A74" s="137" t="s">
        <v>828</v>
      </c>
      <c r="B74" s="137"/>
      <c r="C74" s="102">
        <f t="shared" ref="C74:E74" si="12">SUM(C75:C80)</f>
        <v>5670</v>
      </c>
      <c r="D74" s="102">
        <f t="shared" si="12"/>
        <v>3259554</v>
      </c>
      <c r="E74" s="102">
        <f t="shared" si="12"/>
        <v>2747755</v>
      </c>
      <c r="F74" s="103">
        <f t="shared" si="7"/>
        <v>0.84298496051913852</v>
      </c>
    </row>
    <row r="75" spans="1:6" ht="15" customHeight="1" x14ac:dyDescent="0.25">
      <c r="A75" s="105"/>
      <c r="B75" s="105" t="s">
        <v>829</v>
      </c>
      <c r="C75" s="106">
        <f>SUM(mun_coc!C1320)</f>
        <v>196</v>
      </c>
      <c r="D75" s="106">
        <f>SUM(mun_coc!D1320)</f>
        <v>124191</v>
      </c>
      <c r="E75" s="106">
        <f>SUM(mun_coc!E1320)</f>
        <v>103589</v>
      </c>
      <c r="F75" s="107">
        <f t="shared" si="7"/>
        <v>0.83411036226457635</v>
      </c>
    </row>
    <row r="76" spans="1:6" ht="15" customHeight="1" x14ac:dyDescent="0.25">
      <c r="A76" s="105"/>
      <c r="B76" s="105" t="s">
        <v>837</v>
      </c>
      <c r="C76" s="106">
        <f>SUM(mun_coc!C1332)</f>
        <v>693</v>
      </c>
      <c r="D76" s="106">
        <f>SUM(mun_coc!D1332)</f>
        <v>359570</v>
      </c>
      <c r="E76" s="106">
        <f>SUM(mun_coc!E1332)</f>
        <v>309579</v>
      </c>
      <c r="F76" s="107">
        <f t="shared" si="7"/>
        <v>0.86097004755680395</v>
      </c>
    </row>
    <row r="77" spans="1:6" ht="15" customHeight="1" x14ac:dyDescent="0.25">
      <c r="A77" s="105"/>
      <c r="B77" s="105" t="s">
        <v>857</v>
      </c>
      <c r="C77" s="106">
        <f>SUM(mun_coc!C1359)</f>
        <v>2257</v>
      </c>
      <c r="D77" s="106">
        <f>SUM(mun_coc!D1359)</f>
        <v>1401054</v>
      </c>
      <c r="E77" s="106">
        <f>SUM(mun_coc!E1359)</f>
        <v>1204703</v>
      </c>
      <c r="F77" s="107">
        <f t="shared" si="7"/>
        <v>0.85985479503288242</v>
      </c>
    </row>
    <row r="78" spans="1:6" ht="15" customHeight="1" x14ac:dyDescent="0.25">
      <c r="A78" s="105"/>
      <c r="B78" s="105" t="s">
        <v>891</v>
      </c>
      <c r="C78" s="106">
        <f>SUM(mun_coc!C1408)</f>
        <v>747</v>
      </c>
      <c r="D78" s="106">
        <f>SUM(mun_coc!D1408)</f>
        <v>449191</v>
      </c>
      <c r="E78" s="106">
        <f>SUM(mun_coc!E1408)</f>
        <v>359902</v>
      </c>
      <c r="F78" s="107">
        <f t="shared" si="7"/>
        <v>0.80122264248393227</v>
      </c>
    </row>
    <row r="79" spans="1:6" ht="15" customHeight="1" x14ac:dyDescent="0.25">
      <c r="A79" s="105"/>
      <c r="B79" s="105" t="s">
        <v>905</v>
      </c>
      <c r="C79" s="106">
        <f>SUM(mun_coc!C1435)</f>
        <v>1177</v>
      </c>
      <c r="D79" s="106">
        <f>SUM(mun_coc!D1435)</f>
        <v>625543</v>
      </c>
      <c r="E79" s="106">
        <f>SUM(mun_coc!E1435)</f>
        <v>503239</v>
      </c>
      <c r="F79" s="107">
        <f t="shared" ref="F79:F111" si="13">SUM(E79/D79)</f>
        <v>0.80448346476581145</v>
      </c>
    </row>
    <row r="80" spans="1:6" ht="15" customHeight="1" x14ac:dyDescent="0.25">
      <c r="A80" s="105"/>
      <c r="B80" s="105" t="s">
        <v>907</v>
      </c>
      <c r="C80" s="106">
        <f>SUM(mun_coc!C1464)</f>
        <v>600</v>
      </c>
      <c r="D80" s="106">
        <f>SUM(mun_coc!D1464)</f>
        <v>300005</v>
      </c>
      <c r="E80" s="106">
        <f>SUM(mun_coc!E1464)</f>
        <v>266743</v>
      </c>
      <c r="F80" s="107">
        <f t="shared" si="13"/>
        <v>0.88912851452475794</v>
      </c>
    </row>
    <row r="81" spans="1:6" ht="24.95" customHeight="1" x14ac:dyDescent="0.25">
      <c r="A81" s="137" t="s">
        <v>920</v>
      </c>
      <c r="B81" s="137"/>
      <c r="C81" s="102">
        <f>SUM(C82:C85)</f>
        <v>4048</v>
      </c>
      <c r="D81" s="102">
        <f t="shared" ref="D81:E81" si="14">SUM(D82:D85)</f>
        <v>2869368</v>
      </c>
      <c r="E81" s="102">
        <f t="shared" si="14"/>
        <v>2384181</v>
      </c>
      <c r="F81" s="103">
        <f t="shared" si="13"/>
        <v>0.83090806059034605</v>
      </c>
    </row>
    <row r="82" spans="1:6" ht="15" customHeight="1" x14ac:dyDescent="0.25">
      <c r="A82" s="105"/>
      <c r="B82" s="105" t="s">
        <v>921</v>
      </c>
      <c r="C82" s="106">
        <f>SUM(mun_coc!C1487)</f>
        <v>1135</v>
      </c>
      <c r="D82" s="106">
        <f>SUM(mun_coc!D1487)</f>
        <v>780540</v>
      </c>
      <c r="E82" s="106">
        <f>SUM(mun_coc!E1487)</f>
        <v>655186</v>
      </c>
      <c r="F82" s="107">
        <f t="shared" si="13"/>
        <v>0.83940092756296925</v>
      </c>
    </row>
    <row r="83" spans="1:6" ht="15" customHeight="1" x14ac:dyDescent="0.25">
      <c r="A83" s="105"/>
      <c r="B83" s="105" t="s">
        <v>942</v>
      </c>
      <c r="C83" s="106">
        <f>SUM(mun_coc!C1518)</f>
        <v>1627</v>
      </c>
      <c r="D83" s="106">
        <f>SUM(mun_coc!D1518)</f>
        <v>1196013</v>
      </c>
      <c r="E83" s="106">
        <f>SUM(mun_coc!E1518)</f>
        <v>975416</v>
      </c>
      <c r="F83" s="107">
        <f t="shared" si="13"/>
        <v>0.81555635264834081</v>
      </c>
    </row>
    <row r="84" spans="1:6" ht="15" customHeight="1" x14ac:dyDescent="0.25">
      <c r="A84" s="105"/>
      <c r="B84" s="105" t="s">
        <v>962</v>
      </c>
      <c r="C84" s="106">
        <f>SUM(mun_coc!C1552)</f>
        <v>623</v>
      </c>
      <c r="D84" s="106">
        <f>SUM(mun_coc!D1552)</f>
        <v>428422</v>
      </c>
      <c r="E84" s="106">
        <f>SUM(mun_coc!E1552)</f>
        <v>357975</v>
      </c>
      <c r="F84" s="107">
        <f t="shared" si="13"/>
        <v>0.83556633412849945</v>
      </c>
    </row>
    <row r="85" spans="1:6" ht="15" customHeight="1" x14ac:dyDescent="0.25">
      <c r="A85" s="105"/>
      <c r="B85" s="105" t="s">
        <v>1602</v>
      </c>
      <c r="C85" s="106">
        <f>mun_coc!C1571</f>
        <v>663</v>
      </c>
      <c r="D85" s="106">
        <f>mun_coc!D1571</f>
        <v>464393</v>
      </c>
      <c r="E85" s="106">
        <f>mun_coc!E1571</f>
        <v>395604</v>
      </c>
      <c r="F85" s="107">
        <f t="shared" ref="F85" si="15">SUM(E85/D85)</f>
        <v>0.85187330558384822</v>
      </c>
    </row>
    <row r="86" spans="1:6" ht="24.95" customHeight="1" x14ac:dyDescent="0.25">
      <c r="A86" s="137" t="s">
        <v>975</v>
      </c>
      <c r="B86" s="137"/>
      <c r="C86" s="102">
        <f t="shared" ref="C86:E86" si="16">SUM(C87:C91)</f>
        <v>4444</v>
      </c>
      <c r="D86" s="102">
        <f t="shared" si="16"/>
        <v>3179252</v>
      </c>
      <c r="E86" s="102">
        <f t="shared" si="16"/>
        <v>2731299</v>
      </c>
      <c r="F86" s="103">
        <f t="shared" si="13"/>
        <v>0.85910113448068914</v>
      </c>
    </row>
    <row r="87" spans="1:6" ht="15" customHeight="1" x14ac:dyDescent="0.25">
      <c r="A87" s="105"/>
      <c r="B87" s="105" t="s">
        <v>976</v>
      </c>
      <c r="C87" s="106">
        <f>SUM(mun_coc!C1594)</f>
        <v>1349</v>
      </c>
      <c r="D87" s="106">
        <f>SUM(mun_coc!D1594)</f>
        <v>995736</v>
      </c>
      <c r="E87" s="106">
        <f>SUM(mun_coc!E1594)</f>
        <v>861732</v>
      </c>
      <c r="F87" s="107">
        <f t="shared" si="13"/>
        <v>0.86542216009062645</v>
      </c>
    </row>
    <row r="88" spans="1:6" ht="15" customHeight="1" x14ac:dyDescent="0.25">
      <c r="A88" s="105"/>
      <c r="B88" s="105" t="s">
        <v>994</v>
      </c>
      <c r="C88" s="106">
        <f>SUM(mun_coc!C1621)</f>
        <v>94</v>
      </c>
      <c r="D88" s="106">
        <f>SUM(mun_coc!D1621)</f>
        <v>66557</v>
      </c>
      <c r="E88" s="106">
        <f>SUM(mun_coc!E1621)</f>
        <v>60294</v>
      </c>
      <c r="F88" s="107">
        <f t="shared" si="13"/>
        <v>0.90590020583860453</v>
      </c>
    </row>
    <row r="89" spans="1:6" ht="15" customHeight="1" x14ac:dyDescent="0.25">
      <c r="A89" s="105"/>
      <c r="B89" s="105" t="s">
        <v>999</v>
      </c>
      <c r="C89" s="106">
        <f>SUM(mun_coc!C1630)</f>
        <v>856</v>
      </c>
      <c r="D89" s="106">
        <f>SUM(mun_coc!D1630)</f>
        <v>573261</v>
      </c>
      <c r="E89" s="106">
        <f>SUM(mun_coc!E1630)</f>
        <v>485351</v>
      </c>
      <c r="F89" s="107">
        <f t="shared" si="13"/>
        <v>0.84664925749353259</v>
      </c>
    </row>
    <row r="90" spans="1:6" ht="15" customHeight="1" x14ac:dyDescent="0.25">
      <c r="A90" s="105"/>
      <c r="B90" s="105" t="s">
        <v>1019</v>
      </c>
      <c r="C90" s="106">
        <f>SUM(mun_coc!C1657)</f>
        <v>693</v>
      </c>
      <c r="D90" s="106">
        <f>SUM(mun_coc!D1657)</f>
        <v>437401</v>
      </c>
      <c r="E90" s="106">
        <f>SUM(mun_coc!E1657)</f>
        <v>365381</v>
      </c>
      <c r="F90" s="107">
        <f t="shared" si="13"/>
        <v>0.83534559820393639</v>
      </c>
    </row>
    <row r="91" spans="1:6" ht="15" customHeight="1" x14ac:dyDescent="0.25">
      <c r="A91" s="105"/>
      <c r="B91" s="105" t="s">
        <v>1029</v>
      </c>
      <c r="C91" s="106">
        <f>SUM(mun_coc!C1677)</f>
        <v>1452</v>
      </c>
      <c r="D91" s="106">
        <f>SUM(mun_coc!D1677)</f>
        <v>1106297</v>
      </c>
      <c r="E91" s="106">
        <f>SUM(mun_coc!E1677)</f>
        <v>958541</v>
      </c>
      <c r="F91" s="107">
        <f t="shared" si="13"/>
        <v>0.86644092861139455</v>
      </c>
    </row>
    <row r="92" spans="1:6" ht="24.95" customHeight="1" x14ac:dyDescent="0.25">
      <c r="A92" s="137" t="s">
        <v>1049</v>
      </c>
      <c r="B92" s="137"/>
      <c r="C92" s="102">
        <f t="shared" ref="C92:E92" si="17">SUM(C93:C97)</f>
        <v>4189</v>
      </c>
      <c r="D92" s="102">
        <f t="shared" si="17"/>
        <v>3376470</v>
      </c>
      <c r="E92" s="102">
        <f t="shared" si="17"/>
        <v>2779125</v>
      </c>
      <c r="F92" s="103">
        <f t="shared" si="13"/>
        <v>0.82308594478849217</v>
      </c>
    </row>
    <row r="93" spans="1:6" ht="15" customHeight="1" x14ac:dyDescent="0.25">
      <c r="A93" s="105"/>
      <c r="B93" s="105" t="s">
        <v>1541</v>
      </c>
      <c r="C93" s="106">
        <f>SUM(mun_coc!C1710)</f>
        <v>703</v>
      </c>
      <c r="D93" s="106">
        <f>SUM(mun_coc!D1710)</f>
        <v>548390</v>
      </c>
      <c r="E93" s="106">
        <f>SUM(mun_coc!E1710)</f>
        <v>490629</v>
      </c>
      <c r="F93" s="107">
        <f t="shared" si="13"/>
        <v>0.8946716752676015</v>
      </c>
    </row>
    <row r="94" spans="1:6" ht="15" customHeight="1" x14ac:dyDescent="0.25">
      <c r="A94" s="105"/>
      <c r="B94" s="105" t="s">
        <v>1056</v>
      </c>
      <c r="C94" s="106">
        <f>SUM(mun_coc!C1724)</f>
        <v>882</v>
      </c>
      <c r="D94" s="106">
        <f>SUM(mun_coc!D1724)</f>
        <v>717449</v>
      </c>
      <c r="E94" s="106">
        <f>SUM(mun_coc!E1724)</f>
        <v>602325</v>
      </c>
      <c r="F94" s="107">
        <f t="shared" si="13"/>
        <v>0.8395370263252161</v>
      </c>
    </row>
    <row r="95" spans="1:6" ht="15" customHeight="1" x14ac:dyDescent="0.25">
      <c r="A95" s="105"/>
      <c r="B95" s="105" t="s">
        <v>1065</v>
      </c>
      <c r="C95" s="106">
        <f>SUM(mun_coc!C1741)</f>
        <v>1774</v>
      </c>
      <c r="D95" s="106">
        <f>SUM(mun_coc!D1741)</f>
        <v>1471819</v>
      </c>
      <c r="E95" s="106">
        <f>SUM(mun_coc!E1741)</f>
        <v>1158376</v>
      </c>
      <c r="F95" s="107">
        <f t="shared" si="13"/>
        <v>0.78703699299981855</v>
      </c>
    </row>
    <row r="96" spans="1:6" ht="15" customHeight="1" x14ac:dyDescent="0.25">
      <c r="A96" s="105"/>
      <c r="B96" s="105" t="s">
        <v>1075</v>
      </c>
      <c r="C96" s="106">
        <f>SUM(mun_coc!C1760)</f>
        <v>555</v>
      </c>
      <c r="D96" s="106">
        <f>SUM(mun_coc!D1760)</f>
        <v>433645</v>
      </c>
      <c r="E96" s="106">
        <f>SUM(mun_coc!E1760)</f>
        <v>376419</v>
      </c>
      <c r="F96" s="107">
        <f t="shared" si="13"/>
        <v>0.86803491335078231</v>
      </c>
    </row>
    <row r="97" spans="1:6" ht="15" customHeight="1" x14ac:dyDescent="0.25">
      <c r="A97" s="105"/>
      <c r="B97" s="105" t="s">
        <v>1253</v>
      </c>
      <c r="C97" s="106">
        <f>SUM(mun_coc!C1774)</f>
        <v>275</v>
      </c>
      <c r="D97" s="106">
        <f>SUM(mun_coc!D1774)</f>
        <v>205167</v>
      </c>
      <c r="E97" s="106">
        <f>SUM(mun_coc!E1774)</f>
        <v>151376</v>
      </c>
      <c r="F97" s="107">
        <f t="shared" si="13"/>
        <v>0.73781846008373664</v>
      </c>
    </row>
    <row r="98" spans="1:6" ht="24.95" customHeight="1" x14ac:dyDescent="0.25">
      <c r="A98" s="137" t="s">
        <v>1085</v>
      </c>
      <c r="B98" s="137"/>
      <c r="C98" s="102">
        <f t="shared" ref="C98:E98" si="18">SUM(C99:C102)</f>
        <v>3492</v>
      </c>
      <c r="D98" s="102">
        <f t="shared" si="18"/>
        <v>2701992</v>
      </c>
      <c r="E98" s="102">
        <f t="shared" si="18"/>
        <v>2200890</v>
      </c>
      <c r="F98" s="103">
        <f t="shared" si="13"/>
        <v>0.81454349235675017</v>
      </c>
    </row>
    <row r="99" spans="1:6" ht="15" customHeight="1" x14ac:dyDescent="0.25">
      <c r="A99" s="105"/>
      <c r="B99" s="105" t="s">
        <v>1542</v>
      </c>
      <c r="C99" s="106">
        <f>SUM(mun_coc!C1784)</f>
        <v>1073</v>
      </c>
      <c r="D99" s="106">
        <f>SUM(mun_coc!D1784)</f>
        <v>797609</v>
      </c>
      <c r="E99" s="106">
        <f>SUM(mun_coc!E1784)</f>
        <v>674841</v>
      </c>
      <c r="F99" s="107">
        <f t="shared" si="13"/>
        <v>0.84607997151486503</v>
      </c>
    </row>
    <row r="100" spans="1:6" ht="15" customHeight="1" x14ac:dyDescent="0.25">
      <c r="A100" s="105"/>
      <c r="B100" s="105" t="s">
        <v>1101</v>
      </c>
      <c r="C100" s="106">
        <f>SUM(mun_coc!C1806)</f>
        <v>490</v>
      </c>
      <c r="D100" s="106">
        <f>SUM(mun_coc!D1806)</f>
        <v>373178</v>
      </c>
      <c r="E100" s="106">
        <f>SUM(mun_coc!E1806)</f>
        <v>284653</v>
      </c>
      <c r="F100" s="107">
        <f t="shared" si="13"/>
        <v>0.76278076413936513</v>
      </c>
    </row>
    <row r="101" spans="1:6" ht="15" customHeight="1" x14ac:dyDescent="0.25">
      <c r="A101" s="105"/>
      <c r="B101" s="105" t="s">
        <v>1106</v>
      </c>
      <c r="C101" s="106">
        <f>SUM(mun_coc!C1817)</f>
        <v>1226</v>
      </c>
      <c r="D101" s="106">
        <f>SUM(mun_coc!D1817)</f>
        <v>997821</v>
      </c>
      <c r="E101" s="106">
        <f>SUM(mun_coc!E1817)</f>
        <v>812184</v>
      </c>
      <c r="F101" s="107">
        <f t="shared" si="13"/>
        <v>0.81395761364012187</v>
      </c>
    </row>
    <row r="102" spans="1:6" ht="15" customHeight="1" x14ac:dyDescent="0.25">
      <c r="A102" s="105"/>
      <c r="B102" s="105" t="s">
        <v>1113</v>
      </c>
      <c r="C102" s="106">
        <f>SUM(mun_coc!C1834)</f>
        <v>703</v>
      </c>
      <c r="D102" s="106">
        <f>SUM(mun_coc!D1834)</f>
        <v>533384</v>
      </c>
      <c r="E102" s="106">
        <f>SUM(mun_coc!E1834)</f>
        <v>429212</v>
      </c>
      <c r="F102" s="107">
        <f t="shared" si="13"/>
        <v>0.80469605387488186</v>
      </c>
    </row>
    <row r="103" spans="1:6" ht="24.95" customHeight="1" x14ac:dyDescent="0.25">
      <c r="A103" s="137" t="s">
        <v>1118</v>
      </c>
      <c r="B103" s="137"/>
      <c r="C103" s="102">
        <f t="shared" ref="C103:E103" si="19">SUM(C104:C108)</f>
        <v>2666</v>
      </c>
      <c r="D103" s="102">
        <f t="shared" si="19"/>
        <v>1904917</v>
      </c>
      <c r="E103" s="102">
        <f t="shared" si="19"/>
        <v>1613102</v>
      </c>
      <c r="F103" s="103">
        <f t="shared" si="13"/>
        <v>0.84680959852843984</v>
      </c>
    </row>
    <row r="104" spans="1:6" ht="15" customHeight="1" x14ac:dyDescent="0.25">
      <c r="A104" s="105"/>
      <c r="B104" s="105" t="s">
        <v>1119</v>
      </c>
      <c r="C104" s="106">
        <f>SUM(mun_coc!C1850)</f>
        <v>643</v>
      </c>
      <c r="D104" s="106">
        <f>SUM(mun_coc!D1850)</f>
        <v>492857</v>
      </c>
      <c r="E104" s="106">
        <f>SUM(mun_coc!E1850)</f>
        <v>403667</v>
      </c>
      <c r="F104" s="107">
        <f t="shared" si="13"/>
        <v>0.81903473015499428</v>
      </c>
    </row>
    <row r="105" spans="1:6" ht="15" customHeight="1" x14ac:dyDescent="0.25">
      <c r="A105" s="105"/>
      <c r="B105" s="105" t="s">
        <v>1126</v>
      </c>
      <c r="C105" s="106">
        <f>SUM(mun_coc!C1867)</f>
        <v>633</v>
      </c>
      <c r="D105" s="106">
        <f>SUM(mun_coc!D1867)</f>
        <v>446642</v>
      </c>
      <c r="E105" s="106">
        <f>SUM(mun_coc!E1867)</f>
        <v>357755</v>
      </c>
      <c r="F105" s="107">
        <f t="shared" si="13"/>
        <v>0.80098826353097108</v>
      </c>
    </row>
    <row r="106" spans="1:6" ht="15" customHeight="1" x14ac:dyDescent="0.25">
      <c r="A106" s="105"/>
      <c r="B106" s="105" t="s">
        <v>1134</v>
      </c>
      <c r="C106" s="106">
        <f>SUM(mun_coc!C1884)</f>
        <v>140</v>
      </c>
      <c r="D106" s="106">
        <f>SUM(mun_coc!D1884)</f>
        <v>81673</v>
      </c>
      <c r="E106" s="106">
        <f>SUM(mun_coc!E1884)</f>
        <v>71033</v>
      </c>
      <c r="F106" s="107">
        <f t="shared" si="13"/>
        <v>0.86972438872087465</v>
      </c>
    </row>
    <row r="107" spans="1:6" ht="15" customHeight="1" x14ac:dyDescent="0.25">
      <c r="A107" s="105"/>
      <c r="B107" s="105" t="s">
        <v>1138</v>
      </c>
      <c r="C107" s="106">
        <f>SUM(mun_coc!C1895)</f>
        <v>592</v>
      </c>
      <c r="D107" s="106">
        <f>SUM(mun_coc!D1895)</f>
        <v>407056</v>
      </c>
      <c r="E107" s="106">
        <f>SUM(mun_coc!E1895)</f>
        <v>361860</v>
      </c>
      <c r="F107" s="107">
        <f t="shared" si="13"/>
        <v>0.88896859400180805</v>
      </c>
    </row>
    <row r="108" spans="1:6" ht="15" customHeight="1" x14ac:dyDescent="0.25">
      <c r="A108" s="105"/>
      <c r="B108" s="105" t="s">
        <v>1149</v>
      </c>
      <c r="C108" s="106">
        <f>SUM(mun_coc!C1919)</f>
        <v>658</v>
      </c>
      <c r="D108" s="106">
        <f>SUM(mun_coc!D1919)</f>
        <v>476689</v>
      </c>
      <c r="E108" s="106">
        <f>SUM(mun_coc!E1919)</f>
        <v>418787</v>
      </c>
      <c r="F108" s="107">
        <f t="shared" si="13"/>
        <v>0.87853296384015578</v>
      </c>
    </row>
    <row r="109" spans="1:6" ht="24.95" customHeight="1" x14ac:dyDescent="0.25">
      <c r="A109" s="137" t="s">
        <v>1322</v>
      </c>
      <c r="B109" s="137"/>
      <c r="C109" s="102">
        <f>SUM(C110:C115)</f>
        <v>3576</v>
      </c>
      <c r="D109" s="102">
        <f>SUM(D110:D115)</f>
        <v>2378828</v>
      </c>
      <c r="E109" s="102">
        <f>SUM(E110:E115)</f>
        <v>1846549</v>
      </c>
      <c r="F109" s="103">
        <f t="shared" si="13"/>
        <v>0.77624317521065</v>
      </c>
    </row>
    <row r="110" spans="1:6" ht="15" customHeight="1" x14ac:dyDescent="0.25">
      <c r="A110" s="105"/>
      <c r="B110" s="105" t="s">
        <v>1163</v>
      </c>
      <c r="C110" s="106">
        <f>SUM(mun_coc!C1942)</f>
        <v>440</v>
      </c>
      <c r="D110" s="106">
        <f>SUM(mun_coc!D1942)</f>
        <v>315601</v>
      </c>
      <c r="E110" s="106">
        <f>SUM(mun_coc!E1942)</f>
        <v>251108</v>
      </c>
      <c r="F110" s="107">
        <f t="shared" si="13"/>
        <v>0.79565020389669239</v>
      </c>
    </row>
    <row r="111" spans="1:6" ht="15" customHeight="1" x14ac:dyDescent="0.25">
      <c r="A111" s="105"/>
      <c r="B111" s="105" t="s">
        <v>1175</v>
      </c>
      <c r="C111" s="106">
        <f>SUM(mun_coc!C1959)</f>
        <v>1318</v>
      </c>
      <c r="D111" s="106">
        <f>SUM(mun_coc!D1959)</f>
        <v>706919</v>
      </c>
      <c r="E111" s="106">
        <f>SUM(mun_coc!E1959)</f>
        <v>572452</v>
      </c>
      <c r="F111" s="107">
        <f t="shared" si="13"/>
        <v>0.80978443074807727</v>
      </c>
    </row>
    <row r="112" spans="1:6" ht="15" customHeight="1" x14ac:dyDescent="0.25">
      <c r="A112" s="105"/>
      <c r="B112" s="105" t="s">
        <v>1583</v>
      </c>
      <c r="C112" s="106">
        <f>mun_coc!C2002</f>
        <v>686</v>
      </c>
      <c r="D112" s="106">
        <f>mun_coc!D2002</f>
        <v>530526</v>
      </c>
      <c r="E112" s="106">
        <f>mun_coc!E2002</f>
        <v>376958</v>
      </c>
      <c r="F112" s="107">
        <f t="shared" ref="F112:F115" si="20">SUM(E112/D112)</f>
        <v>0.71053633563670771</v>
      </c>
    </row>
    <row r="113" spans="1:6" ht="15" customHeight="1" x14ac:dyDescent="0.25">
      <c r="A113" s="105"/>
      <c r="B113" s="105" t="s">
        <v>1586</v>
      </c>
      <c r="C113" s="106">
        <f>mun_coc!C2021</f>
        <v>610</v>
      </c>
      <c r="D113" s="106">
        <f>mun_coc!D2021</f>
        <v>451687</v>
      </c>
      <c r="E113" s="106">
        <f>mun_coc!E2021</f>
        <v>354068</v>
      </c>
      <c r="F113" s="107">
        <f t="shared" ref="F113" si="21">SUM(E113/D113)</f>
        <v>0.78387910212160195</v>
      </c>
    </row>
    <row r="114" spans="1:6" ht="15" customHeight="1" x14ac:dyDescent="0.25">
      <c r="A114" s="105"/>
      <c r="B114" s="105" t="s">
        <v>1243</v>
      </c>
      <c r="C114" s="106">
        <f>mun_coc!C2049</f>
        <v>368</v>
      </c>
      <c r="D114" s="106">
        <f>mun_coc!D2049</f>
        <v>255632</v>
      </c>
      <c r="E114" s="106">
        <f>mun_coc!E2049</f>
        <v>202320</v>
      </c>
      <c r="F114" s="107">
        <f t="shared" si="20"/>
        <v>0.79145020967640989</v>
      </c>
    </row>
    <row r="115" spans="1:6" ht="15" customHeight="1" x14ac:dyDescent="0.25">
      <c r="A115" s="110"/>
      <c r="B115" s="111" t="s">
        <v>1603</v>
      </c>
      <c r="C115" s="106">
        <f>mun_coc!C2065</f>
        <v>154</v>
      </c>
      <c r="D115" s="106">
        <f>mun_coc!D2065</f>
        <v>118463</v>
      </c>
      <c r="E115" s="106">
        <f>mun_coc!E2065</f>
        <v>89643</v>
      </c>
      <c r="F115" s="107">
        <f t="shared" si="20"/>
        <v>0.75671728725424814</v>
      </c>
    </row>
  </sheetData>
  <mergeCells count="29">
    <mergeCell ref="E10:E13"/>
    <mergeCell ref="A1:F1"/>
    <mergeCell ref="A2:F2"/>
    <mergeCell ref="A3:F3"/>
    <mergeCell ref="A5:F5"/>
    <mergeCell ref="A6:F6"/>
    <mergeCell ref="F10:F13"/>
    <mergeCell ref="C10:C13"/>
    <mergeCell ref="D10:D13"/>
    <mergeCell ref="A109:B109"/>
    <mergeCell ref="A81:B81"/>
    <mergeCell ref="A86:B86"/>
    <mergeCell ref="A92:B92"/>
    <mergeCell ref="A71:B71"/>
    <mergeCell ref="A74:B74"/>
    <mergeCell ref="A15:B15"/>
    <mergeCell ref="A10:B13"/>
    <mergeCell ref="A14:B14"/>
    <mergeCell ref="A98:B98"/>
    <mergeCell ref="A103:B103"/>
    <mergeCell ref="A16:B16"/>
    <mergeCell ref="A23:B23"/>
    <mergeCell ref="A28:B28"/>
    <mergeCell ref="A34:B34"/>
    <mergeCell ref="A42:B42"/>
    <mergeCell ref="A54:B54"/>
    <mergeCell ref="A61:B61"/>
    <mergeCell ref="A48:B48"/>
    <mergeCell ref="A67:B67"/>
  </mergeCells>
  <printOptions horizontalCentered="1"/>
  <pageMargins left="0.23622047244094491" right="0.23622047244094491" top="0.74803149606299213" bottom="1.4960629921259843" header="0.31496062992125984" footer="1.2598425196850394"/>
  <pageSetup orientation="portrait" r:id="rId1"/>
  <headerFooter>
    <oddFooter>&amp;C&amp;"Tahoma,Regular"&amp;8&amp;P&amp;R&amp;"Tahoma,Regular"&amp;8&amp;D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74"/>
  <sheetViews>
    <sheetView zoomScale="90" zoomScaleNormal="90" zoomScaleSheetLayoutView="100" workbookViewId="0">
      <selection activeCell="B762" sqref="B762"/>
    </sheetView>
  </sheetViews>
  <sheetFormatPr defaultColWidth="9.140625" defaultRowHeight="15" x14ac:dyDescent="0.25"/>
  <cols>
    <col min="1" max="1" width="3.140625" style="7" customWidth="1"/>
    <col min="2" max="2" width="28.28515625" style="7" customWidth="1"/>
    <col min="3" max="3" width="14.42578125" style="8" customWidth="1"/>
    <col min="4" max="4" width="14.42578125" style="60" customWidth="1"/>
    <col min="5" max="5" width="14.42578125" style="9" customWidth="1"/>
    <col min="6" max="6" width="14.42578125" style="5" customWidth="1"/>
    <col min="7" max="16384" width="9.140625" style="5"/>
  </cols>
  <sheetData>
    <row r="1" spans="1:6" s="3" customFormat="1" ht="18" customHeight="1" x14ac:dyDescent="0.25">
      <c r="A1" s="141" t="s">
        <v>0</v>
      </c>
      <c r="B1" s="141"/>
      <c r="C1" s="141"/>
      <c r="D1" s="141"/>
      <c r="E1" s="141"/>
      <c r="F1" s="141"/>
    </row>
    <row r="2" spans="1:6" s="3" customFormat="1" ht="18" x14ac:dyDescent="0.25">
      <c r="A2" s="141" t="s">
        <v>1323</v>
      </c>
      <c r="B2" s="141"/>
      <c r="C2" s="141"/>
      <c r="D2" s="141"/>
      <c r="E2" s="141"/>
      <c r="F2" s="141"/>
    </row>
    <row r="3" spans="1:6" s="3" customFormat="1" ht="18" x14ac:dyDescent="0.25">
      <c r="A3" s="141" t="s">
        <v>1</v>
      </c>
      <c r="B3" s="141"/>
      <c r="C3" s="141"/>
      <c r="D3" s="141"/>
      <c r="E3" s="141"/>
      <c r="F3" s="141"/>
    </row>
    <row r="4" spans="1:6" ht="12.75" customHeight="1" x14ac:dyDescent="0.25">
      <c r="A4" s="4"/>
      <c r="B4" s="4"/>
      <c r="C4" s="4"/>
      <c r="D4" s="4"/>
      <c r="E4" s="4"/>
      <c r="F4" s="4"/>
    </row>
    <row r="5" spans="1:6" ht="27" customHeight="1" x14ac:dyDescent="0.25">
      <c r="A5" s="143" t="s">
        <v>1319</v>
      </c>
      <c r="B5" s="143"/>
      <c r="C5" s="143"/>
      <c r="D5" s="143"/>
      <c r="E5" s="143"/>
      <c r="F5" s="143"/>
    </row>
    <row r="6" spans="1:6" ht="12.75" customHeight="1" x14ac:dyDescent="0.25">
      <c r="A6" s="143" t="s">
        <v>1582</v>
      </c>
      <c r="B6" s="143"/>
      <c r="C6" s="143"/>
      <c r="D6" s="143"/>
      <c r="E6" s="143"/>
      <c r="F6" s="143"/>
    </row>
    <row r="7" spans="1:6" ht="8.25" customHeight="1" x14ac:dyDescent="0.25">
      <c r="A7" s="112"/>
      <c r="B7" s="112"/>
      <c r="C7" s="112"/>
      <c r="D7" s="112"/>
      <c r="E7" s="112"/>
      <c r="F7" s="112"/>
    </row>
    <row r="8" spans="1:6" ht="12.75" customHeight="1" x14ac:dyDescent="0.25">
      <c r="A8" s="113"/>
      <c r="B8" s="6"/>
      <c r="C8" s="6"/>
      <c r="D8" s="6"/>
      <c r="E8" s="6"/>
      <c r="F8" s="6"/>
    </row>
    <row r="9" spans="1:6" ht="12.75" customHeight="1" x14ac:dyDescent="0.25">
      <c r="A9" s="113" t="s">
        <v>1666</v>
      </c>
      <c r="B9" s="6"/>
      <c r="C9" s="6"/>
      <c r="D9" s="6"/>
      <c r="E9" s="6"/>
      <c r="F9" s="6"/>
    </row>
    <row r="10" spans="1:6" ht="15" customHeight="1" x14ac:dyDescent="0.25">
      <c r="A10" s="164" t="s">
        <v>2</v>
      </c>
      <c r="B10" s="165"/>
      <c r="C10" s="166" t="s">
        <v>1324</v>
      </c>
      <c r="D10" s="167" t="s">
        <v>1314</v>
      </c>
      <c r="E10" s="162" t="s">
        <v>1665</v>
      </c>
      <c r="F10" s="168" t="s">
        <v>1321</v>
      </c>
    </row>
    <row r="11" spans="1:6" ht="15" customHeight="1" x14ac:dyDescent="0.25">
      <c r="A11" s="169"/>
      <c r="B11" s="170"/>
      <c r="C11" s="166"/>
      <c r="D11" s="171"/>
      <c r="E11" s="162"/>
      <c r="F11" s="168"/>
    </row>
    <row r="12" spans="1:6" ht="43.5" customHeight="1" x14ac:dyDescent="0.25">
      <c r="A12" s="172"/>
      <c r="B12" s="173"/>
      <c r="C12" s="166"/>
      <c r="D12" s="174"/>
      <c r="E12" s="162"/>
      <c r="F12" s="168"/>
    </row>
    <row r="13" spans="1:6" ht="23.1" customHeight="1" x14ac:dyDescent="0.25">
      <c r="A13" s="142" t="s">
        <v>3</v>
      </c>
      <c r="B13" s="142"/>
      <c r="C13" s="10">
        <f>SUM(C14+C59+C162+C304+C421+C585+C765+C858+C997+C1120+C1200+C1319+C1486+C1593+C1709+C1783+C1849+C1941)</f>
        <v>93287</v>
      </c>
      <c r="D13" s="10">
        <f>SUM(D14+D59+D162+D304+D421+D585+D765+D858+D997+D1120+D1200+D1319+D1486+D1593+D1709+D1783+D1849+D1941)</f>
        <v>68431965</v>
      </c>
      <c r="E13" s="10">
        <f t="shared" ref="E13" si="0">SUM(E14+E59+E162+E304+E421+E585+E765+E858+E997+E1120+E1200+E1319+E1486+E1593+E1709+E1783+E1849+E1941)</f>
        <v>57070411</v>
      </c>
      <c r="F13" s="11">
        <f t="shared" ref="F13:F60" si="1">SUM(E13/D13)</f>
        <v>0.83397299785268475</v>
      </c>
    </row>
    <row r="14" spans="1:6" ht="23.1" customHeight="1" x14ac:dyDescent="0.25">
      <c r="A14" s="140" t="s">
        <v>4</v>
      </c>
      <c r="B14" s="140"/>
      <c r="C14" s="12">
        <f t="shared" ref="C14" si="2">C15+C22+C29+C33+C36+C39+C42+C45+C48+C51+C52+C53+C54+C55+C56+C57+C58</f>
        <v>9030</v>
      </c>
      <c r="D14" s="12">
        <f t="shared" ref="D14:E14" si="3">D15+D22+D29+D33+D36+D39+D42+D45+D48+D51+D52+D53+D54+D55+D56+D57+D58</f>
        <v>7563520</v>
      </c>
      <c r="E14" s="12">
        <f t="shared" si="3"/>
        <v>6040069</v>
      </c>
      <c r="F14" s="13">
        <f t="shared" si="1"/>
        <v>0.79857910073616523</v>
      </c>
    </row>
    <row r="15" spans="1:6" ht="23.1" customHeight="1" x14ac:dyDescent="0.25">
      <c r="A15" s="140" t="s">
        <v>5</v>
      </c>
      <c r="B15" s="140"/>
      <c r="C15" s="14">
        <f t="shared" ref="C15" si="4">SUM(C16:C21)</f>
        <v>1585</v>
      </c>
      <c r="D15" s="14">
        <f t="shared" ref="D15:E15" si="5">SUM(D16:D21)</f>
        <v>1142174</v>
      </c>
      <c r="E15" s="14">
        <f t="shared" si="5"/>
        <v>929012</v>
      </c>
      <c r="F15" s="13">
        <f t="shared" si="1"/>
        <v>0.81337169292944855</v>
      </c>
    </row>
    <row r="16" spans="1:6" ht="15" customHeight="1" x14ac:dyDescent="0.25">
      <c r="A16" s="15"/>
      <c r="B16" s="15" t="s">
        <v>6</v>
      </c>
      <c r="C16" s="61">
        <v>346</v>
      </c>
      <c r="D16" s="61">
        <v>267797</v>
      </c>
      <c r="E16" s="17">
        <v>224005</v>
      </c>
      <c r="F16" s="18">
        <f t="shared" si="1"/>
        <v>0.83647314943782047</v>
      </c>
    </row>
    <row r="17" spans="1:6" ht="15" customHeight="1" x14ac:dyDescent="0.25">
      <c r="A17" s="15"/>
      <c r="B17" s="15" t="s">
        <v>7</v>
      </c>
      <c r="C17" s="61">
        <v>213</v>
      </c>
      <c r="D17" s="61">
        <v>149095</v>
      </c>
      <c r="E17" s="17">
        <v>122409</v>
      </c>
      <c r="F17" s="18">
        <f t="shared" si="1"/>
        <v>0.82101344780173713</v>
      </c>
    </row>
    <row r="18" spans="1:6" ht="12.75" customHeight="1" x14ac:dyDescent="0.25">
      <c r="A18" s="15"/>
      <c r="B18" s="15" t="s">
        <v>8</v>
      </c>
      <c r="C18" s="61">
        <v>217</v>
      </c>
      <c r="D18" s="61">
        <v>156053</v>
      </c>
      <c r="E18" s="17">
        <v>123045</v>
      </c>
      <c r="F18" s="18">
        <f>SUM(E18/D18)</f>
        <v>0.7884821182546955</v>
      </c>
    </row>
    <row r="19" spans="1:6" ht="15" customHeight="1" x14ac:dyDescent="0.25">
      <c r="A19" s="15"/>
      <c r="B19" s="15" t="s">
        <v>9</v>
      </c>
      <c r="C19" s="61">
        <v>252</v>
      </c>
      <c r="D19" s="61">
        <v>172679</v>
      </c>
      <c r="E19" s="17">
        <v>139619</v>
      </c>
      <c r="F19" s="18">
        <f t="shared" si="1"/>
        <v>0.8085464937832626</v>
      </c>
    </row>
    <row r="20" spans="1:6" ht="15" customHeight="1" x14ac:dyDescent="0.25">
      <c r="A20" s="15"/>
      <c r="B20" s="15" t="s">
        <v>10</v>
      </c>
      <c r="C20" s="61">
        <v>315</v>
      </c>
      <c r="D20" s="61">
        <v>227051</v>
      </c>
      <c r="E20" s="17">
        <v>181596</v>
      </c>
      <c r="F20" s="18">
        <f t="shared" si="1"/>
        <v>0.79980268750192685</v>
      </c>
    </row>
    <row r="21" spans="1:6" ht="15" customHeight="1" x14ac:dyDescent="0.25">
      <c r="A21" s="15"/>
      <c r="B21" s="15" t="s">
        <v>11</v>
      </c>
      <c r="C21" s="61">
        <v>242</v>
      </c>
      <c r="D21" s="61">
        <v>169499</v>
      </c>
      <c r="E21" s="17">
        <v>138338</v>
      </c>
      <c r="F21" s="18">
        <f t="shared" si="1"/>
        <v>0.81615820742305267</v>
      </c>
    </row>
    <row r="22" spans="1:6" ht="23.1" customHeight="1" x14ac:dyDescent="0.25">
      <c r="A22" s="140" t="s">
        <v>12</v>
      </c>
      <c r="B22" s="140"/>
      <c r="C22" s="14">
        <f t="shared" ref="C22" si="6">SUM(C23:C28)</f>
        <v>1658</v>
      </c>
      <c r="D22" s="14">
        <f t="shared" ref="D22:E22" si="7">SUM(D23:D28)</f>
        <v>1454411</v>
      </c>
      <c r="E22" s="14">
        <f t="shared" si="7"/>
        <v>1150586</v>
      </c>
      <c r="F22" s="13">
        <f t="shared" si="1"/>
        <v>0.79110100239890924</v>
      </c>
    </row>
    <row r="23" spans="1:6" ht="15" customHeight="1" x14ac:dyDescent="0.25">
      <c r="A23" s="15"/>
      <c r="B23" s="15" t="s">
        <v>6</v>
      </c>
      <c r="C23" s="61">
        <v>247</v>
      </c>
      <c r="D23" s="61">
        <v>217676</v>
      </c>
      <c r="E23" s="16">
        <v>168049</v>
      </c>
      <c r="F23" s="18">
        <f t="shared" si="1"/>
        <v>0.77201436998107276</v>
      </c>
    </row>
    <row r="24" spans="1:6" ht="15" customHeight="1" x14ac:dyDescent="0.25">
      <c r="A24" s="15"/>
      <c r="B24" s="15" t="s">
        <v>7</v>
      </c>
      <c r="C24" s="61">
        <v>372</v>
      </c>
      <c r="D24" s="61">
        <v>328316</v>
      </c>
      <c r="E24" s="16">
        <v>257836</v>
      </c>
      <c r="F24" s="18">
        <f t="shared" si="1"/>
        <v>0.78532876862534873</v>
      </c>
    </row>
    <row r="25" spans="1:6" ht="15" customHeight="1" x14ac:dyDescent="0.25">
      <c r="A25" s="15"/>
      <c r="B25" s="15" t="s">
        <v>8</v>
      </c>
      <c r="C25" s="61">
        <v>204</v>
      </c>
      <c r="D25" s="61">
        <v>172497</v>
      </c>
      <c r="E25" s="16">
        <v>139339</v>
      </c>
      <c r="F25" s="18">
        <f t="shared" si="1"/>
        <v>0.80777636712522538</v>
      </c>
    </row>
    <row r="26" spans="1:6" ht="15" customHeight="1" x14ac:dyDescent="0.25">
      <c r="A26" s="15"/>
      <c r="B26" s="15" t="s">
        <v>9</v>
      </c>
      <c r="C26" s="61">
        <v>268</v>
      </c>
      <c r="D26" s="61">
        <v>234450</v>
      </c>
      <c r="E26" s="16">
        <v>193458</v>
      </c>
      <c r="F26" s="18">
        <f t="shared" si="1"/>
        <v>0.82515674984005116</v>
      </c>
    </row>
    <row r="27" spans="1:6" ht="15" customHeight="1" x14ac:dyDescent="0.25">
      <c r="A27" s="15"/>
      <c r="B27" s="15" t="s">
        <v>10</v>
      </c>
      <c r="C27" s="61">
        <v>313</v>
      </c>
      <c r="D27" s="61">
        <v>281197</v>
      </c>
      <c r="E27" s="16">
        <v>221705</v>
      </c>
      <c r="F27" s="18">
        <f t="shared" si="1"/>
        <v>0.7884330202669303</v>
      </c>
    </row>
    <row r="28" spans="1:6" ht="15" customHeight="1" x14ac:dyDescent="0.25">
      <c r="A28" s="15"/>
      <c r="B28" s="15" t="s">
        <v>11</v>
      </c>
      <c r="C28" s="61">
        <v>254</v>
      </c>
      <c r="D28" s="61">
        <v>220275</v>
      </c>
      <c r="E28" s="16">
        <v>170199</v>
      </c>
      <c r="F28" s="18">
        <f t="shared" si="1"/>
        <v>0.77266598569969358</v>
      </c>
    </row>
    <row r="29" spans="1:6" ht="23.1" customHeight="1" x14ac:dyDescent="0.25">
      <c r="A29" s="140" t="s">
        <v>1327</v>
      </c>
      <c r="B29" s="140"/>
      <c r="C29" s="14">
        <f t="shared" ref="C29" si="8">SUM(C30:C32)</f>
        <v>905</v>
      </c>
      <c r="D29" s="14">
        <f t="shared" ref="D29:E29" si="9">SUM(D30:D32)</f>
        <v>765249</v>
      </c>
      <c r="E29" s="14">
        <f t="shared" si="9"/>
        <v>606213</v>
      </c>
      <c r="F29" s="13">
        <f t="shared" si="1"/>
        <v>0.79217744812472801</v>
      </c>
    </row>
    <row r="30" spans="1:6" ht="15" customHeight="1" x14ac:dyDescent="0.25">
      <c r="A30" s="15"/>
      <c r="B30" s="15" t="s">
        <v>6</v>
      </c>
      <c r="C30" s="61">
        <v>432</v>
      </c>
      <c r="D30" s="61">
        <v>377294</v>
      </c>
      <c r="E30" s="16">
        <v>297493</v>
      </c>
      <c r="F30" s="18">
        <f t="shared" si="1"/>
        <v>0.7884912031466178</v>
      </c>
    </row>
    <row r="31" spans="1:6" ht="15" customHeight="1" x14ac:dyDescent="0.25">
      <c r="A31" s="15"/>
      <c r="B31" s="15" t="s">
        <v>7</v>
      </c>
      <c r="C31" s="61">
        <v>300</v>
      </c>
      <c r="D31" s="61">
        <v>237712</v>
      </c>
      <c r="E31" s="16">
        <v>188617</v>
      </c>
      <c r="F31" s="18">
        <f t="shared" si="1"/>
        <v>0.79346856700545199</v>
      </c>
    </row>
    <row r="32" spans="1:6" ht="15" customHeight="1" x14ac:dyDescent="0.25">
      <c r="A32" s="15"/>
      <c r="B32" s="15" t="s">
        <v>8</v>
      </c>
      <c r="C32" s="61">
        <v>173</v>
      </c>
      <c r="D32" s="61">
        <v>150243</v>
      </c>
      <c r="E32" s="16">
        <v>120103</v>
      </c>
      <c r="F32" s="18">
        <f t="shared" si="1"/>
        <v>0.79939165219011865</v>
      </c>
    </row>
    <row r="33" spans="1:6" ht="23.1" customHeight="1" x14ac:dyDescent="0.25">
      <c r="A33" s="140" t="s">
        <v>13</v>
      </c>
      <c r="B33" s="140"/>
      <c r="C33" s="14">
        <f t="shared" ref="C33" si="10">SUM(C34:C35)</f>
        <v>300</v>
      </c>
      <c r="D33" s="14">
        <f t="shared" ref="D33:E33" si="11">SUM(D34:D35)</f>
        <v>270240</v>
      </c>
      <c r="E33" s="14">
        <f t="shared" si="11"/>
        <v>210052</v>
      </c>
      <c r="F33" s="13">
        <f t="shared" si="1"/>
        <v>0.77727945529899345</v>
      </c>
    </row>
    <row r="34" spans="1:6" ht="15" customHeight="1" x14ac:dyDescent="0.25">
      <c r="A34" s="15"/>
      <c r="B34" s="15" t="s">
        <v>6</v>
      </c>
      <c r="C34" s="61">
        <v>240</v>
      </c>
      <c r="D34" s="61">
        <v>216152</v>
      </c>
      <c r="E34" s="16">
        <v>170882</v>
      </c>
      <c r="F34" s="18">
        <f t="shared" si="1"/>
        <v>0.79056404752211407</v>
      </c>
    </row>
    <row r="35" spans="1:6" ht="15" customHeight="1" x14ac:dyDescent="0.25">
      <c r="A35" s="15"/>
      <c r="B35" s="15" t="s">
        <v>7</v>
      </c>
      <c r="C35" s="61">
        <v>60</v>
      </c>
      <c r="D35" s="61">
        <v>54088</v>
      </c>
      <c r="E35" s="16">
        <v>39170</v>
      </c>
      <c r="F35" s="18">
        <f t="shared" si="1"/>
        <v>0.72419020854903116</v>
      </c>
    </row>
    <row r="36" spans="1:6" ht="23.1" customHeight="1" x14ac:dyDescent="0.25">
      <c r="A36" s="140" t="s">
        <v>14</v>
      </c>
      <c r="B36" s="140"/>
      <c r="C36" s="14">
        <f t="shared" ref="C36" si="12">SUM(C37:C38)</f>
        <v>363</v>
      </c>
      <c r="D36" s="14">
        <f t="shared" ref="D36" si="13">SUM(D37:D38)</f>
        <v>315980</v>
      </c>
      <c r="E36" s="14">
        <f>SUM(E37:E38)</f>
        <v>258466</v>
      </c>
      <c r="F36" s="13">
        <f t="shared" si="1"/>
        <v>0.81798215076903602</v>
      </c>
    </row>
    <row r="37" spans="1:6" ht="15" customHeight="1" x14ac:dyDescent="0.25">
      <c r="A37" s="15"/>
      <c r="B37" s="15" t="s">
        <v>6</v>
      </c>
      <c r="C37" s="62">
        <v>148</v>
      </c>
      <c r="D37" s="61">
        <v>127290</v>
      </c>
      <c r="E37" s="16">
        <v>107054</v>
      </c>
      <c r="F37" s="18">
        <f t="shared" si="1"/>
        <v>0.84102443239846025</v>
      </c>
    </row>
    <row r="38" spans="1:6" ht="15" customHeight="1" x14ac:dyDescent="0.25">
      <c r="A38" s="15"/>
      <c r="B38" s="15" t="s">
        <v>7</v>
      </c>
      <c r="C38" s="62">
        <v>215</v>
      </c>
      <c r="D38" s="61">
        <v>188690</v>
      </c>
      <c r="E38" s="16">
        <v>151412</v>
      </c>
      <c r="F38" s="18">
        <f t="shared" si="1"/>
        <v>0.80243786104192061</v>
      </c>
    </row>
    <row r="39" spans="1:6" ht="23.1" customHeight="1" x14ac:dyDescent="0.25">
      <c r="A39" s="140" t="s">
        <v>15</v>
      </c>
      <c r="B39" s="140"/>
      <c r="C39" s="14">
        <f t="shared" ref="C39" si="14">SUM(C40:C41)</f>
        <v>402</v>
      </c>
      <c r="D39" s="14">
        <f t="shared" ref="D39:E39" si="15">SUM(D40:D41)</f>
        <v>353274</v>
      </c>
      <c r="E39" s="14">
        <f t="shared" si="15"/>
        <v>278341</v>
      </c>
      <c r="F39" s="13">
        <f t="shared" si="1"/>
        <v>0.78788985320176408</v>
      </c>
    </row>
    <row r="40" spans="1:6" ht="15" customHeight="1" x14ac:dyDescent="0.25">
      <c r="A40" s="15"/>
      <c r="B40" s="15" t="s">
        <v>6</v>
      </c>
      <c r="C40" s="61">
        <v>156</v>
      </c>
      <c r="D40" s="61">
        <v>139653</v>
      </c>
      <c r="E40" s="16">
        <v>105462</v>
      </c>
      <c r="F40" s="18">
        <f t="shared" si="1"/>
        <v>0.75517174711606627</v>
      </c>
    </row>
    <row r="41" spans="1:6" ht="15" customHeight="1" x14ac:dyDescent="0.25">
      <c r="A41" s="15"/>
      <c r="B41" s="15" t="s">
        <v>7</v>
      </c>
      <c r="C41" s="61">
        <v>246</v>
      </c>
      <c r="D41" s="61">
        <v>213621</v>
      </c>
      <c r="E41" s="16">
        <v>172879</v>
      </c>
      <c r="F41" s="18">
        <f t="shared" si="1"/>
        <v>0.80927905028063718</v>
      </c>
    </row>
    <row r="42" spans="1:6" ht="23.1" customHeight="1" x14ac:dyDescent="0.25">
      <c r="A42" s="140" t="s">
        <v>16</v>
      </c>
      <c r="B42" s="140"/>
      <c r="C42" s="14">
        <f t="shared" ref="C42" si="16">SUM(C43:C44)</f>
        <v>519</v>
      </c>
      <c r="D42" s="14">
        <f t="shared" ref="D42:E42" si="17">SUM(D43:D44)</f>
        <v>463885</v>
      </c>
      <c r="E42" s="14">
        <f t="shared" si="17"/>
        <v>386057</v>
      </c>
      <c r="F42" s="13">
        <f t="shared" si="1"/>
        <v>0.83222565937678517</v>
      </c>
    </row>
    <row r="43" spans="1:6" ht="15" customHeight="1" x14ac:dyDescent="0.25">
      <c r="A43" s="15"/>
      <c r="B43" s="15" t="s">
        <v>1316</v>
      </c>
      <c r="C43" s="62">
        <v>210</v>
      </c>
      <c r="D43" s="61">
        <v>181637</v>
      </c>
      <c r="E43" s="16">
        <v>150207</v>
      </c>
      <c r="F43" s="18">
        <f t="shared" si="1"/>
        <v>0.82696256819921055</v>
      </c>
    </row>
    <row r="44" spans="1:6" ht="15" customHeight="1" x14ac:dyDescent="0.25">
      <c r="A44" s="15"/>
      <c r="B44" s="15" t="s">
        <v>1317</v>
      </c>
      <c r="C44" s="62">
        <v>309</v>
      </c>
      <c r="D44" s="61">
        <v>282248</v>
      </c>
      <c r="E44" s="16">
        <v>235850</v>
      </c>
      <c r="F44" s="18">
        <f t="shared" si="1"/>
        <v>0.83561265270258778</v>
      </c>
    </row>
    <row r="45" spans="1:6" ht="23.1" customHeight="1" x14ac:dyDescent="0.25">
      <c r="A45" s="140" t="s">
        <v>17</v>
      </c>
      <c r="B45" s="140"/>
      <c r="C45" s="14">
        <f t="shared" ref="C45" si="18">SUM(C46:C47)</f>
        <v>511</v>
      </c>
      <c r="D45" s="14">
        <f t="shared" ref="D45:E45" si="19">SUM(D46:D47)</f>
        <v>438556</v>
      </c>
      <c r="E45" s="14">
        <f t="shared" si="19"/>
        <v>353937</v>
      </c>
      <c r="F45" s="13">
        <f t="shared" si="1"/>
        <v>0.80705086693603556</v>
      </c>
    </row>
    <row r="46" spans="1:6" ht="15" customHeight="1" x14ac:dyDescent="0.25">
      <c r="A46" s="15"/>
      <c r="B46" s="15" t="s">
        <v>6</v>
      </c>
      <c r="C46" s="62">
        <v>245</v>
      </c>
      <c r="D46" s="61">
        <v>210330</v>
      </c>
      <c r="E46" s="16">
        <v>171409</v>
      </c>
      <c r="F46" s="18">
        <f t="shared" si="1"/>
        <v>0.81495269338658294</v>
      </c>
    </row>
    <row r="47" spans="1:6" ht="15" customHeight="1" x14ac:dyDescent="0.25">
      <c r="A47" s="15"/>
      <c r="B47" s="15" t="s">
        <v>7</v>
      </c>
      <c r="C47" s="62">
        <v>266</v>
      </c>
      <c r="D47" s="61">
        <v>228226</v>
      </c>
      <c r="E47" s="16">
        <v>182528</v>
      </c>
      <c r="F47" s="18">
        <f t="shared" si="1"/>
        <v>0.79976865037287603</v>
      </c>
    </row>
    <row r="48" spans="1:6" ht="23.1" customHeight="1" x14ac:dyDescent="0.25">
      <c r="A48" s="140" t="s">
        <v>18</v>
      </c>
      <c r="B48" s="140"/>
      <c r="C48" s="14">
        <f t="shared" ref="C48" si="20">SUM(C49:C50)</f>
        <v>398</v>
      </c>
      <c r="D48" s="14">
        <f t="shared" ref="D48:E48" si="21">SUM(D49:D50)</f>
        <v>292695</v>
      </c>
      <c r="E48" s="14">
        <f t="shared" si="21"/>
        <v>228150</v>
      </c>
      <c r="F48" s="13">
        <f t="shared" si="1"/>
        <v>0.77948034643570951</v>
      </c>
    </row>
    <row r="49" spans="1:6" ht="15" customHeight="1" x14ac:dyDescent="0.25">
      <c r="A49" s="15"/>
      <c r="B49" s="15" t="s">
        <v>1316</v>
      </c>
      <c r="C49" s="62">
        <v>197</v>
      </c>
      <c r="D49" s="61">
        <v>145563</v>
      </c>
      <c r="E49" s="16">
        <v>114755</v>
      </c>
      <c r="F49" s="18">
        <f t="shared" si="1"/>
        <v>0.78835280943646391</v>
      </c>
    </row>
    <row r="50" spans="1:6" ht="15" customHeight="1" x14ac:dyDescent="0.25">
      <c r="A50" s="15"/>
      <c r="B50" s="15" t="s">
        <v>1317</v>
      </c>
      <c r="C50" s="62">
        <v>201</v>
      </c>
      <c r="D50" s="61">
        <v>147132</v>
      </c>
      <c r="E50" s="16">
        <v>113395</v>
      </c>
      <c r="F50" s="18">
        <f t="shared" si="1"/>
        <v>0.77070249843677785</v>
      </c>
    </row>
    <row r="51" spans="1:6" ht="15" customHeight="1" x14ac:dyDescent="0.25">
      <c r="A51" s="140" t="s">
        <v>1328</v>
      </c>
      <c r="B51" s="140"/>
      <c r="C51" s="63">
        <v>365</v>
      </c>
      <c r="D51" s="64">
        <v>318542</v>
      </c>
      <c r="E51" s="14">
        <v>255455</v>
      </c>
      <c r="F51" s="13">
        <f t="shared" si="1"/>
        <v>0.80195076316466907</v>
      </c>
    </row>
    <row r="52" spans="1:6" ht="15" customHeight="1" x14ac:dyDescent="0.25">
      <c r="A52" s="140" t="s">
        <v>1329</v>
      </c>
      <c r="B52" s="140"/>
      <c r="C52" s="63">
        <v>268</v>
      </c>
      <c r="D52" s="64">
        <v>223624</v>
      </c>
      <c r="E52" s="14">
        <v>171240</v>
      </c>
      <c r="F52" s="13">
        <f t="shared" si="1"/>
        <v>0.76574965120022898</v>
      </c>
    </row>
    <row r="53" spans="1:6" ht="15" customHeight="1" x14ac:dyDescent="0.25">
      <c r="A53" s="140" t="s">
        <v>1330</v>
      </c>
      <c r="B53" s="140"/>
      <c r="C53" s="63">
        <v>360</v>
      </c>
      <c r="D53" s="64">
        <v>314934</v>
      </c>
      <c r="E53" s="14">
        <v>250672</v>
      </c>
      <c r="F53" s="13">
        <f t="shared" si="1"/>
        <v>0.79595089764839622</v>
      </c>
    </row>
    <row r="54" spans="1:6" ht="15" customHeight="1" x14ac:dyDescent="0.25">
      <c r="A54" s="140" t="s">
        <v>1331</v>
      </c>
      <c r="B54" s="140"/>
      <c r="C54" s="63">
        <v>279</v>
      </c>
      <c r="D54" s="64">
        <v>233868</v>
      </c>
      <c r="E54" s="14">
        <v>194152</v>
      </c>
      <c r="F54" s="13">
        <f t="shared" si="1"/>
        <v>0.83017770708262784</v>
      </c>
    </row>
    <row r="55" spans="1:6" ht="15" customHeight="1" x14ac:dyDescent="0.25">
      <c r="A55" s="140" t="s">
        <v>1332</v>
      </c>
      <c r="B55" s="140"/>
      <c r="C55" s="63">
        <v>175</v>
      </c>
      <c r="D55" s="64">
        <v>157065</v>
      </c>
      <c r="E55" s="14">
        <v>129274</v>
      </c>
      <c r="F55" s="13">
        <f t="shared" si="1"/>
        <v>0.82306051634673538</v>
      </c>
    </row>
    <row r="56" spans="1:6" ht="15" customHeight="1" x14ac:dyDescent="0.25">
      <c r="A56" s="140" t="s">
        <v>1333</v>
      </c>
      <c r="B56" s="140"/>
      <c r="C56" s="63">
        <v>124</v>
      </c>
      <c r="D56" s="64">
        <v>100639</v>
      </c>
      <c r="E56" s="14">
        <v>70809</v>
      </c>
      <c r="F56" s="13">
        <f t="shared" si="1"/>
        <v>0.70359403412196064</v>
      </c>
    </row>
    <row r="57" spans="1:6" ht="15" customHeight="1" x14ac:dyDescent="0.25">
      <c r="A57" s="140" t="s">
        <v>1334</v>
      </c>
      <c r="B57" s="140"/>
      <c r="C57" s="63">
        <v>773</v>
      </c>
      <c r="D57" s="64">
        <v>680554</v>
      </c>
      <c r="E57" s="14">
        <v>537093</v>
      </c>
      <c r="F57" s="13">
        <f t="shared" si="1"/>
        <v>0.78919968143600649</v>
      </c>
    </row>
    <row r="58" spans="1:6" ht="15" customHeight="1" x14ac:dyDescent="0.25">
      <c r="A58" s="140" t="s">
        <v>19</v>
      </c>
      <c r="B58" s="140"/>
      <c r="C58" s="63">
        <v>45</v>
      </c>
      <c r="D58" s="64">
        <v>37830</v>
      </c>
      <c r="E58" s="14">
        <v>30560</v>
      </c>
      <c r="F58" s="13">
        <f t="shared" si="1"/>
        <v>0.80782447792757073</v>
      </c>
    </row>
    <row r="59" spans="1:6" ht="23.1" customHeight="1" x14ac:dyDescent="0.25">
      <c r="A59" s="140" t="s">
        <v>20</v>
      </c>
      <c r="B59" s="140"/>
      <c r="C59" s="14">
        <f t="shared" ref="C59" si="22">SUM(C60+C91+C102+C121+C136+C148)</f>
        <v>1963</v>
      </c>
      <c r="D59" s="14">
        <f t="shared" ref="D59:E59" si="23">SUM(D60+D91+D102+D121+D136+D148)</f>
        <v>1105063</v>
      </c>
      <c r="E59" s="14">
        <f t="shared" si="23"/>
        <v>946327</v>
      </c>
      <c r="F59" s="13">
        <f t="shared" si="1"/>
        <v>0.8563557009871835</v>
      </c>
    </row>
    <row r="60" spans="1:6" ht="23.1" customHeight="1" x14ac:dyDescent="0.25">
      <c r="A60" s="22"/>
      <c r="B60" s="22" t="s">
        <v>21</v>
      </c>
      <c r="C60" s="14">
        <f t="shared" ref="C60" si="24">SUM(C62+C78)</f>
        <v>364</v>
      </c>
      <c r="D60" s="14">
        <f t="shared" ref="D60:E60" si="25">SUM(D62+D78)</f>
        <v>188957</v>
      </c>
      <c r="E60" s="14">
        <f t="shared" si="25"/>
        <v>172959</v>
      </c>
      <c r="F60" s="13">
        <f t="shared" si="1"/>
        <v>0.91533523500055569</v>
      </c>
    </row>
    <row r="61" spans="1:6" ht="23.1" customHeight="1" x14ac:dyDescent="0.25">
      <c r="A61" s="22"/>
      <c r="B61" s="22" t="s">
        <v>22</v>
      </c>
      <c r="C61" s="14"/>
      <c r="D61" s="14"/>
      <c r="E61" s="14"/>
      <c r="F61" s="18"/>
    </row>
    <row r="62" spans="1:6" ht="23.1" customHeight="1" x14ac:dyDescent="0.25">
      <c r="A62" s="22"/>
      <c r="B62" s="22" t="s">
        <v>23</v>
      </c>
      <c r="C62" s="14">
        <f t="shared" ref="C62" si="26">SUM(C63:C77)</f>
        <v>167</v>
      </c>
      <c r="D62" s="14">
        <f t="shared" ref="D62:E62" si="27">SUM(D63:D77)</f>
        <v>81774</v>
      </c>
      <c r="E62" s="14">
        <f t="shared" si="27"/>
        <v>75358</v>
      </c>
      <c r="F62" s="13">
        <f t="shared" ref="F62:F90" si="28">SUM(E62/D62)</f>
        <v>0.92153985374324354</v>
      </c>
    </row>
    <row r="63" spans="1:6" ht="15" customHeight="1" x14ac:dyDescent="0.25">
      <c r="A63" s="15">
        <v>1</v>
      </c>
      <c r="B63" s="15" t="s">
        <v>24</v>
      </c>
      <c r="C63" s="16">
        <v>9</v>
      </c>
      <c r="D63" s="16">
        <v>3011</v>
      </c>
      <c r="E63" s="16">
        <v>2907</v>
      </c>
      <c r="F63" s="18">
        <f t="shared" si="28"/>
        <v>0.96545998007306544</v>
      </c>
    </row>
    <row r="64" spans="1:6" ht="15" customHeight="1" x14ac:dyDescent="0.25">
      <c r="A64" s="15">
        <v>2</v>
      </c>
      <c r="B64" s="15" t="s">
        <v>25</v>
      </c>
      <c r="C64" s="16">
        <v>24</v>
      </c>
      <c r="D64" s="16">
        <v>14842</v>
      </c>
      <c r="E64" s="16">
        <v>13852</v>
      </c>
      <c r="F64" s="18">
        <f t="shared" si="28"/>
        <v>0.93329739927233524</v>
      </c>
    </row>
    <row r="65" spans="1:6" ht="15" customHeight="1" x14ac:dyDescent="0.25">
      <c r="A65" s="15">
        <v>3</v>
      </c>
      <c r="B65" s="15" t="s">
        <v>26</v>
      </c>
      <c r="C65" s="16">
        <v>4</v>
      </c>
      <c r="D65" s="16">
        <v>2064</v>
      </c>
      <c r="E65" s="16">
        <v>1948</v>
      </c>
      <c r="F65" s="18">
        <f t="shared" si="28"/>
        <v>0.94379844961240311</v>
      </c>
    </row>
    <row r="66" spans="1:6" ht="15" customHeight="1" x14ac:dyDescent="0.25">
      <c r="A66" s="15">
        <v>4</v>
      </c>
      <c r="B66" s="15" t="s">
        <v>27</v>
      </c>
      <c r="C66" s="16">
        <v>4</v>
      </c>
      <c r="D66" s="16">
        <v>1454</v>
      </c>
      <c r="E66" s="16">
        <v>1349</v>
      </c>
      <c r="F66" s="18">
        <f t="shared" si="28"/>
        <v>0.92778541953232463</v>
      </c>
    </row>
    <row r="67" spans="1:6" ht="15" customHeight="1" x14ac:dyDescent="0.25">
      <c r="A67" s="15">
        <v>5</v>
      </c>
      <c r="B67" s="15" t="s">
        <v>28</v>
      </c>
      <c r="C67" s="16">
        <v>6</v>
      </c>
      <c r="D67" s="16">
        <v>2750</v>
      </c>
      <c r="E67" s="16">
        <v>2414</v>
      </c>
      <c r="F67" s="18">
        <f t="shared" si="28"/>
        <v>0.87781818181818183</v>
      </c>
    </row>
    <row r="68" spans="1:6" ht="15" customHeight="1" x14ac:dyDescent="0.25">
      <c r="A68" s="15">
        <v>6</v>
      </c>
      <c r="B68" s="15" t="s">
        <v>29</v>
      </c>
      <c r="C68" s="16">
        <v>12</v>
      </c>
      <c r="D68" s="16">
        <v>4928</v>
      </c>
      <c r="E68" s="16">
        <v>4590</v>
      </c>
      <c r="F68" s="18">
        <f t="shared" si="28"/>
        <v>0.93141233766233766</v>
      </c>
    </row>
    <row r="69" spans="1:6" ht="15" customHeight="1" x14ac:dyDescent="0.25">
      <c r="A69" s="15">
        <v>7</v>
      </c>
      <c r="B69" s="15" t="s">
        <v>30</v>
      </c>
      <c r="C69" s="16">
        <v>14</v>
      </c>
      <c r="D69" s="16">
        <v>8077</v>
      </c>
      <c r="E69" s="16">
        <v>7270</v>
      </c>
      <c r="F69" s="18">
        <f t="shared" si="28"/>
        <v>0.90008666584127772</v>
      </c>
    </row>
    <row r="70" spans="1:6" ht="15" customHeight="1" x14ac:dyDescent="0.25">
      <c r="A70" s="15">
        <v>8</v>
      </c>
      <c r="B70" s="15" t="s">
        <v>31</v>
      </c>
      <c r="C70" s="16">
        <v>9</v>
      </c>
      <c r="D70" s="16">
        <v>5145</v>
      </c>
      <c r="E70" s="16">
        <v>4536</v>
      </c>
      <c r="F70" s="18">
        <f t="shared" si="28"/>
        <v>0.88163265306122451</v>
      </c>
    </row>
    <row r="71" spans="1:6" ht="15" customHeight="1" x14ac:dyDescent="0.25">
      <c r="A71" s="15">
        <v>9</v>
      </c>
      <c r="B71" s="15" t="s">
        <v>32</v>
      </c>
      <c r="C71" s="16">
        <v>16</v>
      </c>
      <c r="D71" s="16">
        <v>9613</v>
      </c>
      <c r="E71" s="16">
        <v>8901</v>
      </c>
      <c r="F71" s="18">
        <f t="shared" si="28"/>
        <v>0.92593363154062203</v>
      </c>
    </row>
    <row r="72" spans="1:6" ht="15" customHeight="1" x14ac:dyDescent="0.25">
      <c r="A72" s="15">
        <v>10</v>
      </c>
      <c r="B72" s="15" t="s">
        <v>33</v>
      </c>
      <c r="C72" s="16">
        <v>20</v>
      </c>
      <c r="D72" s="16">
        <v>8086</v>
      </c>
      <c r="E72" s="16">
        <v>7517</v>
      </c>
      <c r="F72" s="18">
        <f t="shared" si="28"/>
        <v>0.92963146178580258</v>
      </c>
    </row>
    <row r="73" spans="1:6" ht="15" customHeight="1" x14ac:dyDescent="0.25">
      <c r="A73" s="15">
        <v>11</v>
      </c>
      <c r="B73" s="15" t="s">
        <v>34</v>
      </c>
      <c r="C73" s="16">
        <v>9</v>
      </c>
      <c r="D73" s="16">
        <v>5503</v>
      </c>
      <c r="E73" s="16">
        <v>5036</v>
      </c>
      <c r="F73" s="18">
        <f t="shared" si="28"/>
        <v>0.91513719789205883</v>
      </c>
    </row>
    <row r="74" spans="1:6" ht="15" customHeight="1" x14ac:dyDescent="0.25">
      <c r="A74" s="15">
        <v>12</v>
      </c>
      <c r="B74" s="15" t="s">
        <v>35</v>
      </c>
      <c r="C74" s="16">
        <v>9</v>
      </c>
      <c r="D74" s="16">
        <v>3461</v>
      </c>
      <c r="E74" s="16">
        <v>3192</v>
      </c>
      <c r="F74" s="18">
        <f t="shared" si="28"/>
        <v>0.92227679861311762</v>
      </c>
    </row>
    <row r="75" spans="1:6" ht="15" customHeight="1" x14ac:dyDescent="0.25">
      <c r="A75" s="15">
        <v>13</v>
      </c>
      <c r="B75" s="15" t="s">
        <v>36</v>
      </c>
      <c r="C75" s="16">
        <v>7</v>
      </c>
      <c r="D75" s="16">
        <v>4582</v>
      </c>
      <c r="E75" s="16">
        <v>4220</v>
      </c>
      <c r="F75" s="18">
        <f t="shared" si="28"/>
        <v>0.92099519860322998</v>
      </c>
    </row>
    <row r="76" spans="1:6" ht="15" customHeight="1" x14ac:dyDescent="0.25">
      <c r="A76" s="15">
        <v>14</v>
      </c>
      <c r="B76" s="15" t="s">
        <v>37</v>
      </c>
      <c r="C76" s="16">
        <v>15</v>
      </c>
      <c r="D76" s="16">
        <v>3956</v>
      </c>
      <c r="E76" s="16">
        <v>3655</v>
      </c>
      <c r="F76" s="18">
        <f t="shared" si="28"/>
        <v>0.92391304347826086</v>
      </c>
    </row>
    <row r="77" spans="1:6" ht="15" customHeight="1" x14ac:dyDescent="0.25">
      <c r="A77" s="15">
        <v>15</v>
      </c>
      <c r="B77" s="15" t="s">
        <v>38</v>
      </c>
      <c r="C77" s="16">
        <v>9</v>
      </c>
      <c r="D77" s="16">
        <v>4302</v>
      </c>
      <c r="E77" s="16">
        <v>3971</v>
      </c>
      <c r="F77" s="18">
        <f t="shared" si="28"/>
        <v>0.92305904230590419</v>
      </c>
    </row>
    <row r="78" spans="1:6" ht="23.1" customHeight="1" x14ac:dyDescent="0.25">
      <c r="A78" s="22"/>
      <c r="B78" s="22" t="s">
        <v>39</v>
      </c>
      <c r="C78" s="14">
        <f t="shared" ref="C78" si="29">SUM(C79:C90)</f>
        <v>197</v>
      </c>
      <c r="D78" s="14">
        <f t="shared" ref="D78:E78" si="30">SUM(D79:D90)</f>
        <v>107183</v>
      </c>
      <c r="E78" s="14">
        <f t="shared" si="30"/>
        <v>97601</v>
      </c>
      <c r="F78" s="13">
        <f t="shared" si="28"/>
        <v>0.91060149464000817</v>
      </c>
    </row>
    <row r="79" spans="1:6" ht="15" customHeight="1" x14ac:dyDescent="0.25">
      <c r="A79" s="15">
        <v>1</v>
      </c>
      <c r="B79" s="15" t="s">
        <v>1347</v>
      </c>
      <c r="C79" s="16">
        <v>49</v>
      </c>
      <c r="D79" s="16">
        <v>35227</v>
      </c>
      <c r="E79" s="16">
        <v>32605</v>
      </c>
      <c r="F79" s="18">
        <f t="shared" si="28"/>
        <v>0.92556845601385296</v>
      </c>
    </row>
    <row r="80" spans="1:6" ht="15" customHeight="1" x14ac:dyDescent="0.25">
      <c r="A80" s="15">
        <v>2</v>
      </c>
      <c r="B80" s="15" t="s">
        <v>40</v>
      </c>
      <c r="C80" s="16">
        <v>7</v>
      </c>
      <c r="D80" s="16">
        <v>3740</v>
      </c>
      <c r="E80" s="16">
        <v>3352</v>
      </c>
      <c r="F80" s="18">
        <f t="shared" si="28"/>
        <v>0.89625668449197859</v>
      </c>
    </row>
    <row r="81" spans="1:6" ht="15" customHeight="1" x14ac:dyDescent="0.25">
      <c r="A81" s="15">
        <v>3</v>
      </c>
      <c r="B81" s="15" t="s">
        <v>41</v>
      </c>
      <c r="C81" s="16">
        <v>17</v>
      </c>
      <c r="D81" s="16">
        <v>9461</v>
      </c>
      <c r="E81" s="16">
        <v>8390</v>
      </c>
      <c r="F81" s="18">
        <f t="shared" si="28"/>
        <v>0.88679843568333161</v>
      </c>
    </row>
    <row r="82" spans="1:6" ht="15" customHeight="1" x14ac:dyDescent="0.25">
      <c r="A82" s="15">
        <v>4</v>
      </c>
      <c r="B82" s="15" t="s">
        <v>42</v>
      </c>
      <c r="C82" s="16">
        <v>17</v>
      </c>
      <c r="D82" s="16">
        <v>11500</v>
      </c>
      <c r="E82" s="16">
        <v>11152</v>
      </c>
      <c r="F82" s="18">
        <f t="shared" si="28"/>
        <v>0.96973913043478266</v>
      </c>
    </row>
    <row r="83" spans="1:6" ht="15" customHeight="1" x14ac:dyDescent="0.25">
      <c r="A83" s="23">
        <v>5</v>
      </c>
      <c r="B83" s="15" t="s">
        <v>43</v>
      </c>
      <c r="C83" s="16">
        <v>10</v>
      </c>
      <c r="D83" s="16">
        <v>3819</v>
      </c>
      <c r="E83" s="16">
        <v>3422</v>
      </c>
      <c r="F83" s="18">
        <f t="shared" si="28"/>
        <v>0.89604608536266039</v>
      </c>
    </row>
    <row r="84" spans="1:6" ht="15" customHeight="1" x14ac:dyDescent="0.25">
      <c r="A84" s="15">
        <v>6</v>
      </c>
      <c r="B84" s="15" t="s">
        <v>44</v>
      </c>
      <c r="C84" s="16">
        <v>20</v>
      </c>
      <c r="D84" s="16">
        <v>11101</v>
      </c>
      <c r="E84" s="16">
        <v>9552</v>
      </c>
      <c r="F84" s="18">
        <f t="shared" si="28"/>
        <v>0.86046302134942798</v>
      </c>
    </row>
    <row r="85" spans="1:6" ht="15" customHeight="1" x14ac:dyDescent="0.25">
      <c r="A85" s="15">
        <v>7</v>
      </c>
      <c r="B85" s="15" t="s">
        <v>45</v>
      </c>
      <c r="C85" s="16">
        <v>6</v>
      </c>
      <c r="D85" s="16">
        <v>3510</v>
      </c>
      <c r="E85" s="16">
        <v>3181</v>
      </c>
      <c r="F85" s="18">
        <f t="shared" si="28"/>
        <v>0.90626780626780623</v>
      </c>
    </row>
    <row r="86" spans="1:6" ht="15" customHeight="1" x14ac:dyDescent="0.25">
      <c r="A86" s="15">
        <v>8</v>
      </c>
      <c r="B86" s="15" t="s">
        <v>1348</v>
      </c>
      <c r="C86" s="16">
        <v>11</v>
      </c>
      <c r="D86" s="16">
        <v>4420</v>
      </c>
      <c r="E86" s="16">
        <v>3762</v>
      </c>
      <c r="F86" s="18">
        <f t="shared" si="28"/>
        <v>0.85113122171945699</v>
      </c>
    </row>
    <row r="87" spans="1:6" ht="15" customHeight="1" x14ac:dyDescent="0.25">
      <c r="A87" s="15">
        <v>9</v>
      </c>
      <c r="B87" s="15" t="s">
        <v>46</v>
      </c>
      <c r="C87" s="16">
        <v>12</v>
      </c>
      <c r="D87" s="16">
        <v>3113</v>
      </c>
      <c r="E87" s="16">
        <v>2842</v>
      </c>
      <c r="F87" s="18">
        <f t="shared" si="28"/>
        <v>0.91294571153228399</v>
      </c>
    </row>
    <row r="88" spans="1:6" ht="15" customHeight="1" x14ac:dyDescent="0.25">
      <c r="A88" s="15">
        <v>10</v>
      </c>
      <c r="B88" s="15" t="s">
        <v>47</v>
      </c>
      <c r="C88" s="16">
        <v>19</v>
      </c>
      <c r="D88" s="16">
        <v>7750</v>
      </c>
      <c r="E88" s="16">
        <v>6991</v>
      </c>
      <c r="F88" s="18">
        <f t="shared" si="28"/>
        <v>0.90206451612903227</v>
      </c>
    </row>
    <row r="89" spans="1:6" ht="15" customHeight="1" x14ac:dyDescent="0.25">
      <c r="A89" s="15">
        <v>11</v>
      </c>
      <c r="B89" s="15" t="s">
        <v>48</v>
      </c>
      <c r="C89" s="16">
        <v>16</v>
      </c>
      <c r="D89" s="16">
        <v>10468</v>
      </c>
      <c r="E89" s="16">
        <v>9602</v>
      </c>
      <c r="F89" s="18">
        <f t="shared" si="28"/>
        <v>0.91727168513565149</v>
      </c>
    </row>
    <row r="90" spans="1:6" ht="15" customHeight="1" x14ac:dyDescent="0.25">
      <c r="A90" s="15">
        <v>12</v>
      </c>
      <c r="B90" s="15" t="s">
        <v>49</v>
      </c>
      <c r="C90" s="16">
        <v>13</v>
      </c>
      <c r="D90" s="16">
        <v>3074</v>
      </c>
      <c r="E90" s="16">
        <v>2750</v>
      </c>
      <c r="F90" s="18">
        <f t="shared" si="28"/>
        <v>0.89459986987638251</v>
      </c>
    </row>
    <row r="91" spans="1:6" ht="23.1" customHeight="1" x14ac:dyDescent="0.25">
      <c r="A91" s="22"/>
      <c r="B91" s="22" t="s">
        <v>50</v>
      </c>
      <c r="C91" s="14">
        <f t="shared" ref="C91" si="31">SUM(C93+C97)</f>
        <v>159</v>
      </c>
      <c r="D91" s="14">
        <f t="shared" ref="D91:E91" si="32">SUM(D93+D97)</f>
        <v>83441</v>
      </c>
      <c r="E91" s="14">
        <f t="shared" si="32"/>
        <v>72548</v>
      </c>
      <c r="F91" s="13">
        <f t="shared" ref="F91:F118" si="33">SUM(E91/D91)</f>
        <v>0.86945266715403702</v>
      </c>
    </row>
    <row r="92" spans="1:6" ht="23.1" customHeight="1" x14ac:dyDescent="0.25">
      <c r="A92" s="22"/>
      <c r="B92" s="22" t="s">
        <v>22</v>
      </c>
      <c r="C92" s="14"/>
      <c r="D92" s="14"/>
      <c r="E92" s="14"/>
      <c r="F92" s="18"/>
    </row>
    <row r="93" spans="1:6" ht="23.1" customHeight="1" x14ac:dyDescent="0.25">
      <c r="A93" s="22"/>
      <c r="B93" s="22" t="s">
        <v>23</v>
      </c>
      <c r="C93" s="14">
        <f t="shared" ref="C93" si="34">SUM(C94:C96)</f>
        <v>78</v>
      </c>
      <c r="D93" s="14">
        <f t="shared" ref="D93:E93" si="35">SUM(D94:D96)</f>
        <v>39708</v>
      </c>
      <c r="E93" s="14">
        <f t="shared" si="35"/>
        <v>34068</v>
      </c>
      <c r="F93" s="13">
        <f t="shared" si="33"/>
        <v>0.85796313085524323</v>
      </c>
    </row>
    <row r="94" spans="1:6" ht="15" customHeight="1" x14ac:dyDescent="0.25">
      <c r="A94" s="15">
        <v>1</v>
      </c>
      <c r="B94" s="15" t="s">
        <v>1349</v>
      </c>
      <c r="C94" s="16">
        <v>20</v>
      </c>
      <c r="D94" s="16">
        <v>9061</v>
      </c>
      <c r="E94" s="16">
        <v>7821</v>
      </c>
      <c r="F94" s="18">
        <f t="shared" si="33"/>
        <v>0.86314976271934662</v>
      </c>
    </row>
    <row r="95" spans="1:6" ht="15" customHeight="1" x14ac:dyDescent="0.25">
      <c r="A95" s="15">
        <v>2</v>
      </c>
      <c r="B95" s="15" t="s">
        <v>51</v>
      </c>
      <c r="C95" s="16">
        <v>31</v>
      </c>
      <c r="D95" s="16">
        <v>18566</v>
      </c>
      <c r="E95" s="16">
        <v>16272</v>
      </c>
      <c r="F95" s="18">
        <f t="shared" si="33"/>
        <v>0.87644080577399552</v>
      </c>
    </row>
    <row r="96" spans="1:6" ht="15" customHeight="1" x14ac:dyDescent="0.25">
      <c r="A96" s="15">
        <v>3</v>
      </c>
      <c r="B96" s="15" t="s">
        <v>1350</v>
      </c>
      <c r="C96" s="16">
        <v>27</v>
      </c>
      <c r="D96" s="16">
        <v>12081</v>
      </c>
      <c r="E96" s="16">
        <v>9975</v>
      </c>
      <c r="F96" s="18">
        <f t="shared" si="33"/>
        <v>0.82567668239384162</v>
      </c>
    </row>
    <row r="97" spans="1:6" ht="23.1" customHeight="1" x14ac:dyDescent="0.25">
      <c r="A97" s="22"/>
      <c r="B97" s="22" t="s">
        <v>39</v>
      </c>
      <c r="C97" s="14">
        <f t="shared" ref="C97" si="36">SUM(C98:C101)</f>
        <v>81</v>
      </c>
      <c r="D97" s="14">
        <f t="shared" ref="D97:E97" si="37">SUM(D98:D101)</f>
        <v>43733</v>
      </c>
      <c r="E97" s="14">
        <f t="shared" si="37"/>
        <v>38480</v>
      </c>
      <c r="F97" s="13">
        <f t="shared" si="33"/>
        <v>0.87988475521917087</v>
      </c>
    </row>
    <row r="98" spans="1:6" ht="15" customHeight="1" x14ac:dyDescent="0.25">
      <c r="A98" s="15">
        <v>1</v>
      </c>
      <c r="B98" s="15" t="s">
        <v>52</v>
      </c>
      <c r="C98" s="16">
        <v>19</v>
      </c>
      <c r="D98" s="16">
        <v>11855</v>
      </c>
      <c r="E98" s="16">
        <v>10310</v>
      </c>
      <c r="F98" s="18">
        <f t="shared" si="33"/>
        <v>0.86967524251370731</v>
      </c>
    </row>
    <row r="99" spans="1:6" ht="15" customHeight="1" x14ac:dyDescent="0.25">
      <c r="A99" s="15">
        <v>2</v>
      </c>
      <c r="B99" s="15" t="s">
        <v>53</v>
      </c>
      <c r="C99" s="16">
        <v>24</v>
      </c>
      <c r="D99" s="16">
        <v>12891</v>
      </c>
      <c r="E99" s="16">
        <v>11633</v>
      </c>
      <c r="F99" s="18">
        <f t="shared" si="33"/>
        <v>0.90241253587774417</v>
      </c>
    </row>
    <row r="100" spans="1:6" ht="15" customHeight="1" x14ac:dyDescent="0.25">
      <c r="A100" s="15">
        <v>3</v>
      </c>
      <c r="B100" s="15" t="s">
        <v>54</v>
      </c>
      <c r="C100" s="16">
        <v>24</v>
      </c>
      <c r="D100" s="16">
        <v>10316</v>
      </c>
      <c r="E100" s="16">
        <v>9002</v>
      </c>
      <c r="F100" s="18">
        <f t="shared" si="33"/>
        <v>0.87262504846839861</v>
      </c>
    </row>
    <row r="101" spans="1:6" ht="15" customHeight="1" x14ac:dyDescent="0.25">
      <c r="A101" s="15">
        <v>4</v>
      </c>
      <c r="B101" s="15" t="s">
        <v>55</v>
      </c>
      <c r="C101" s="16">
        <v>14</v>
      </c>
      <c r="D101" s="16">
        <v>8671</v>
      </c>
      <c r="E101" s="16">
        <v>7535</v>
      </c>
      <c r="F101" s="18">
        <f t="shared" si="33"/>
        <v>0.86898858263176104</v>
      </c>
    </row>
    <row r="102" spans="1:6" ht="23.1" customHeight="1" x14ac:dyDescent="0.25">
      <c r="A102" s="22"/>
      <c r="B102" s="22" t="s">
        <v>56</v>
      </c>
      <c r="C102" s="14">
        <f t="shared" ref="C102" si="38">SUM(C120+C103)</f>
        <v>676</v>
      </c>
      <c r="D102" s="14">
        <f t="shared" ref="D102:E102" si="39">SUM(D120+D103)</f>
        <v>416145</v>
      </c>
      <c r="E102" s="14">
        <f t="shared" si="39"/>
        <v>343068</v>
      </c>
      <c r="F102" s="13">
        <f t="shared" si="33"/>
        <v>0.82439534296939765</v>
      </c>
    </row>
    <row r="103" spans="1:6" ht="23.1" customHeight="1" x14ac:dyDescent="0.25">
      <c r="A103" s="22"/>
      <c r="B103" s="22" t="s">
        <v>22</v>
      </c>
      <c r="C103" s="14">
        <f t="shared" ref="C103" si="40">SUM(C104+C110)</f>
        <v>444</v>
      </c>
      <c r="D103" s="14">
        <f t="shared" ref="D103:E103" si="41">SUM(D104+D110)</f>
        <v>249729</v>
      </c>
      <c r="E103" s="14">
        <f t="shared" si="41"/>
        <v>210927</v>
      </c>
      <c r="F103" s="13">
        <f t="shared" si="33"/>
        <v>0.844623571951996</v>
      </c>
    </row>
    <row r="104" spans="1:6" ht="23.1" customHeight="1" x14ac:dyDescent="0.25">
      <c r="A104" s="22"/>
      <c r="B104" s="22" t="s">
        <v>23</v>
      </c>
      <c r="C104" s="14">
        <f t="shared" ref="C104" si="42">SUM(C105:C109)</f>
        <v>164</v>
      </c>
      <c r="D104" s="14">
        <f t="shared" ref="D104:E104" si="43">SUM(D105:D109)</f>
        <v>89108</v>
      </c>
      <c r="E104" s="14">
        <f t="shared" si="43"/>
        <v>75830</v>
      </c>
      <c r="F104" s="13">
        <f t="shared" si="33"/>
        <v>0.85098981011805896</v>
      </c>
    </row>
    <row r="105" spans="1:6" ht="15" customHeight="1" x14ac:dyDescent="0.25">
      <c r="A105" s="15">
        <v>1</v>
      </c>
      <c r="B105" s="15" t="s">
        <v>57</v>
      </c>
      <c r="C105" s="16">
        <v>27</v>
      </c>
      <c r="D105" s="16">
        <v>10621</v>
      </c>
      <c r="E105" s="16">
        <v>9441</v>
      </c>
      <c r="F105" s="18">
        <f t="shared" si="33"/>
        <v>0.88889935034365875</v>
      </c>
    </row>
    <row r="106" spans="1:6" ht="15" customHeight="1" x14ac:dyDescent="0.25">
      <c r="A106" s="15">
        <v>2</v>
      </c>
      <c r="B106" s="15" t="s">
        <v>58</v>
      </c>
      <c r="C106" s="16">
        <v>56</v>
      </c>
      <c r="D106" s="16">
        <v>33361</v>
      </c>
      <c r="E106" s="16">
        <v>28309</v>
      </c>
      <c r="F106" s="18">
        <f t="shared" si="33"/>
        <v>0.84856569047690422</v>
      </c>
    </row>
    <row r="107" spans="1:6" ht="15" customHeight="1" x14ac:dyDescent="0.25">
      <c r="A107" s="15">
        <v>3</v>
      </c>
      <c r="B107" s="15" t="s">
        <v>59</v>
      </c>
      <c r="C107" s="16">
        <v>21</v>
      </c>
      <c r="D107" s="16">
        <v>10506</v>
      </c>
      <c r="E107" s="16">
        <v>9324</v>
      </c>
      <c r="F107" s="18">
        <f t="shared" si="33"/>
        <v>0.88749286122215876</v>
      </c>
    </row>
    <row r="108" spans="1:6" ht="15" customHeight="1" x14ac:dyDescent="0.25">
      <c r="A108" s="15">
        <v>4</v>
      </c>
      <c r="B108" s="15" t="s">
        <v>60</v>
      </c>
      <c r="C108" s="16">
        <v>15</v>
      </c>
      <c r="D108" s="16">
        <v>8088</v>
      </c>
      <c r="E108" s="16">
        <v>6833</v>
      </c>
      <c r="F108" s="18">
        <f t="shared" si="33"/>
        <v>0.84483184965380809</v>
      </c>
    </row>
    <row r="109" spans="1:6" ht="15" customHeight="1" x14ac:dyDescent="0.25">
      <c r="A109" s="15">
        <v>5</v>
      </c>
      <c r="B109" s="15" t="s">
        <v>61</v>
      </c>
      <c r="C109" s="16">
        <v>45</v>
      </c>
      <c r="D109" s="16">
        <v>26532</v>
      </c>
      <c r="E109" s="16">
        <v>21923</v>
      </c>
      <c r="F109" s="18">
        <f t="shared" si="33"/>
        <v>0.82628524046434493</v>
      </c>
    </row>
    <row r="110" spans="1:6" ht="23.1" customHeight="1" x14ac:dyDescent="0.25">
      <c r="A110" s="22"/>
      <c r="B110" s="22" t="s">
        <v>39</v>
      </c>
      <c r="C110" s="14">
        <f t="shared" ref="C110" si="44">SUM(C111:C118)</f>
        <v>280</v>
      </c>
      <c r="D110" s="14">
        <f t="shared" ref="D110:E110" si="45">SUM(D111:D118)</f>
        <v>160621</v>
      </c>
      <c r="E110" s="14">
        <f t="shared" si="45"/>
        <v>135097</v>
      </c>
      <c r="F110" s="13">
        <f t="shared" si="33"/>
        <v>0.8410917625964226</v>
      </c>
    </row>
    <row r="111" spans="1:6" ht="15" customHeight="1" x14ac:dyDescent="0.25">
      <c r="A111" s="15">
        <v>1</v>
      </c>
      <c r="B111" s="15" t="s">
        <v>62</v>
      </c>
      <c r="C111" s="16">
        <v>28</v>
      </c>
      <c r="D111" s="16">
        <v>11688</v>
      </c>
      <c r="E111" s="16">
        <v>10092</v>
      </c>
      <c r="F111" s="18">
        <f t="shared" si="33"/>
        <v>0.86344969199178645</v>
      </c>
    </row>
    <row r="112" spans="1:6" ht="15" customHeight="1" x14ac:dyDescent="0.25">
      <c r="A112" s="15">
        <v>2</v>
      </c>
      <c r="B112" s="15" t="s">
        <v>63</v>
      </c>
      <c r="C112" s="16">
        <v>21</v>
      </c>
      <c r="D112" s="16">
        <v>10384</v>
      </c>
      <c r="E112" s="16">
        <v>9139</v>
      </c>
      <c r="F112" s="18">
        <f t="shared" si="33"/>
        <v>0.88010400616332818</v>
      </c>
    </row>
    <row r="113" spans="1:6" ht="15" customHeight="1" x14ac:dyDescent="0.25">
      <c r="A113" s="15">
        <v>3</v>
      </c>
      <c r="B113" s="15" t="s">
        <v>64</v>
      </c>
      <c r="C113" s="16">
        <v>50</v>
      </c>
      <c r="D113" s="16">
        <v>25076</v>
      </c>
      <c r="E113" s="16">
        <v>21681</v>
      </c>
      <c r="F113" s="18">
        <f t="shared" si="33"/>
        <v>0.86461158079438505</v>
      </c>
    </row>
    <row r="114" spans="1:6" ht="15" customHeight="1" x14ac:dyDescent="0.25">
      <c r="A114" s="15">
        <v>4</v>
      </c>
      <c r="B114" s="15" t="s">
        <v>65</v>
      </c>
      <c r="C114" s="16">
        <v>31</v>
      </c>
      <c r="D114" s="16">
        <v>14929</v>
      </c>
      <c r="E114" s="16">
        <v>11910</v>
      </c>
      <c r="F114" s="18">
        <f t="shared" si="33"/>
        <v>0.79777614039788336</v>
      </c>
    </row>
    <row r="115" spans="1:6" ht="15" customHeight="1" x14ac:dyDescent="0.25">
      <c r="A115" s="15">
        <v>5</v>
      </c>
      <c r="B115" s="15" t="s">
        <v>66</v>
      </c>
      <c r="C115" s="16">
        <v>25</v>
      </c>
      <c r="D115" s="16">
        <v>10731</v>
      </c>
      <c r="E115" s="16">
        <v>9337</v>
      </c>
      <c r="F115" s="18">
        <f t="shared" si="33"/>
        <v>0.87009598359891904</v>
      </c>
    </row>
    <row r="116" spans="1:6" ht="15" customHeight="1" x14ac:dyDescent="0.25">
      <c r="A116" s="15">
        <v>6</v>
      </c>
      <c r="B116" s="15" t="s">
        <v>1351</v>
      </c>
      <c r="C116" s="16">
        <v>69</v>
      </c>
      <c r="D116" s="16">
        <v>54087</v>
      </c>
      <c r="E116" s="16">
        <v>43815</v>
      </c>
      <c r="F116" s="18">
        <f t="shared" si="33"/>
        <v>0.8100837539519663</v>
      </c>
    </row>
    <row r="117" spans="1:6" ht="15" customHeight="1" x14ac:dyDescent="0.25">
      <c r="A117" s="15">
        <v>7</v>
      </c>
      <c r="B117" s="15" t="s">
        <v>67</v>
      </c>
      <c r="C117" s="16">
        <v>36</v>
      </c>
      <c r="D117" s="16">
        <v>21442</v>
      </c>
      <c r="E117" s="16">
        <v>18552</v>
      </c>
      <c r="F117" s="18">
        <f t="shared" si="33"/>
        <v>0.86521779684730904</v>
      </c>
    </row>
    <row r="118" spans="1:6" ht="15" customHeight="1" x14ac:dyDescent="0.25">
      <c r="A118" s="15">
        <v>8</v>
      </c>
      <c r="B118" s="15" t="s">
        <v>68</v>
      </c>
      <c r="C118" s="16">
        <v>20</v>
      </c>
      <c r="D118" s="16">
        <v>12284</v>
      </c>
      <c r="E118" s="16">
        <v>10571</v>
      </c>
      <c r="F118" s="18">
        <f t="shared" si="33"/>
        <v>0.86055030934549004</v>
      </c>
    </row>
    <row r="119" spans="1:6" ht="23.1" customHeight="1" x14ac:dyDescent="0.25">
      <c r="A119" s="22"/>
      <c r="B119" s="22" t="s">
        <v>22</v>
      </c>
      <c r="C119" s="14"/>
      <c r="D119" s="14"/>
      <c r="E119" s="14"/>
      <c r="F119" s="18"/>
    </row>
    <row r="120" spans="1:6" ht="15" customHeight="1" x14ac:dyDescent="0.25">
      <c r="A120" s="15"/>
      <c r="B120" s="24" t="s">
        <v>1335</v>
      </c>
      <c r="C120" s="16">
        <v>232</v>
      </c>
      <c r="D120" s="16">
        <v>166416</v>
      </c>
      <c r="E120" s="16">
        <v>132141</v>
      </c>
      <c r="F120" s="18">
        <f>SUM(E120/D120)</f>
        <v>0.79404023651571964</v>
      </c>
    </row>
    <row r="121" spans="1:6" ht="23.1" customHeight="1" x14ac:dyDescent="0.25">
      <c r="A121" s="22"/>
      <c r="B121" s="22" t="s">
        <v>69</v>
      </c>
      <c r="C121" s="14">
        <f t="shared" ref="C121" si="46">SUM(C123+C131)</f>
        <v>258</v>
      </c>
      <c r="D121" s="14">
        <f t="shared" ref="D121:E121" si="47">SUM(D123+D131)</f>
        <v>136318</v>
      </c>
      <c r="E121" s="14">
        <f t="shared" si="47"/>
        <v>117835</v>
      </c>
      <c r="F121" s="13">
        <f>SUM(E121/D121)</f>
        <v>0.86441262342463943</v>
      </c>
    </row>
    <row r="122" spans="1:6" ht="23.1" customHeight="1" x14ac:dyDescent="0.25">
      <c r="A122" s="22"/>
      <c r="B122" s="22" t="s">
        <v>22</v>
      </c>
      <c r="C122" s="14"/>
      <c r="D122" s="14"/>
      <c r="E122" s="14"/>
      <c r="F122" s="18"/>
    </row>
    <row r="123" spans="1:6" ht="23.1" customHeight="1" x14ac:dyDescent="0.25">
      <c r="A123" s="22"/>
      <c r="B123" s="22" t="s">
        <v>23</v>
      </c>
      <c r="C123" s="14">
        <f t="shared" ref="C123" si="48">SUM(C124:C130)</f>
        <v>143</v>
      </c>
      <c r="D123" s="14">
        <f t="shared" ref="D123:E123" si="49">SUM(D124:D130)</f>
        <v>78414</v>
      </c>
      <c r="E123" s="14">
        <f t="shared" si="49"/>
        <v>66792</v>
      </c>
      <c r="F123" s="13">
        <f t="shared" ref="F123:F136" si="50">SUM(E123/D123)</f>
        <v>0.85178667074757064</v>
      </c>
    </row>
    <row r="124" spans="1:6" ht="15" customHeight="1" x14ac:dyDescent="0.25">
      <c r="A124" s="15">
        <v>1</v>
      </c>
      <c r="B124" s="15" t="s">
        <v>70</v>
      </c>
      <c r="C124" s="16">
        <v>19</v>
      </c>
      <c r="D124" s="16">
        <v>8312</v>
      </c>
      <c r="E124" s="16">
        <v>7520</v>
      </c>
      <c r="F124" s="18">
        <f t="shared" si="50"/>
        <v>0.90471607314725699</v>
      </c>
    </row>
    <row r="125" spans="1:6" ht="15" customHeight="1" x14ac:dyDescent="0.25">
      <c r="A125" s="15">
        <v>2</v>
      </c>
      <c r="B125" s="15" t="s">
        <v>71</v>
      </c>
      <c r="C125" s="16">
        <v>14</v>
      </c>
      <c r="D125" s="16">
        <v>7772</v>
      </c>
      <c r="E125" s="16">
        <v>6527</v>
      </c>
      <c r="F125" s="18">
        <f t="shared" si="50"/>
        <v>0.83980957282552748</v>
      </c>
    </row>
    <row r="126" spans="1:6" ht="15" customHeight="1" x14ac:dyDescent="0.25">
      <c r="A126" s="15">
        <v>3</v>
      </c>
      <c r="B126" s="15" t="s">
        <v>72</v>
      </c>
      <c r="C126" s="16">
        <v>13</v>
      </c>
      <c r="D126" s="16">
        <v>6223</v>
      </c>
      <c r="E126" s="16">
        <v>5372</v>
      </c>
      <c r="F126" s="18">
        <f t="shared" si="50"/>
        <v>0.86324923670255505</v>
      </c>
    </row>
    <row r="127" spans="1:6" ht="15" customHeight="1" x14ac:dyDescent="0.25">
      <c r="A127" s="15">
        <v>4</v>
      </c>
      <c r="B127" s="15" t="s">
        <v>73</v>
      </c>
      <c r="C127" s="16">
        <v>23</v>
      </c>
      <c r="D127" s="16">
        <v>12488</v>
      </c>
      <c r="E127" s="16">
        <v>9697</v>
      </c>
      <c r="F127" s="18">
        <f t="shared" si="50"/>
        <v>0.77650544522741827</v>
      </c>
    </row>
    <row r="128" spans="1:6" ht="15" customHeight="1" x14ac:dyDescent="0.25">
      <c r="A128" s="15">
        <v>5</v>
      </c>
      <c r="B128" s="15" t="s">
        <v>1543</v>
      </c>
      <c r="C128" s="16">
        <v>25</v>
      </c>
      <c r="D128" s="16">
        <v>13775</v>
      </c>
      <c r="E128" s="16">
        <v>11954</v>
      </c>
      <c r="F128" s="18">
        <f t="shared" si="50"/>
        <v>0.86780399274047182</v>
      </c>
    </row>
    <row r="129" spans="1:6" ht="15" customHeight="1" x14ac:dyDescent="0.25">
      <c r="A129" s="15">
        <v>6</v>
      </c>
      <c r="B129" s="15" t="s">
        <v>74</v>
      </c>
      <c r="C129" s="16">
        <v>31</v>
      </c>
      <c r="D129" s="16">
        <v>18352</v>
      </c>
      <c r="E129" s="16">
        <v>15737</v>
      </c>
      <c r="F129" s="18">
        <f t="shared" si="50"/>
        <v>0.85750871839581522</v>
      </c>
    </row>
    <row r="130" spans="1:6" ht="15" customHeight="1" x14ac:dyDescent="0.25">
      <c r="A130" s="15">
        <v>7</v>
      </c>
      <c r="B130" s="15" t="s">
        <v>75</v>
      </c>
      <c r="C130" s="16">
        <v>18</v>
      </c>
      <c r="D130" s="16">
        <v>11492</v>
      </c>
      <c r="E130" s="16">
        <v>9985</v>
      </c>
      <c r="F130" s="18">
        <f t="shared" si="50"/>
        <v>0.86886529759832931</v>
      </c>
    </row>
    <row r="131" spans="1:6" ht="23.1" customHeight="1" x14ac:dyDescent="0.25">
      <c r="A131" s="22"/>
      <c r="B131" s="22" t="s">
        <v>39</v>
      </c>
      <c r="C131" s="14">
        <f t="shared" ref="C131" si="51">SUM(C132:C135)</f>
        <v>115</v>
      </c>
      <c r="D131" s="14">
        <f t="shared" ref="D131:E131" si="52">SUM(D132:D135)</f>
        <v>57904</v>
      </c>
      <c r="E131" s="14">
        <f t="shared" si="52"/>
        <v>51043</v>
      </c>
      <c r="F131" s="13">
        <f t="shared" si="50"/>
        <v>0.88151077645758502</v>
      </c>
    </row>
    <row r="132" spans="1:6" ht="15" customHeight="1" x14ac:dyDescent="0.25">
      <c r="A132" s="15">
        <v>1</v>
      </c>
      <c r="B132" s="15" t="s">
        <v>76</v>
      </c>
      <c r="C132" s="16">
        <v>27</v>
      </c>
      <c r="D132" s="16">
        <v>12881</v>
      </c>
      <c r="E132" s="16">
        <v>12056</v>
      </c>
      <c r="F132" s="18">
        <f t="shared" si="50"/>
        <v>0.93595217762596072</v>
      </c>
    </row>
    <row r="133" spans="1:6" ht="15" customHeight="1" x14ac:dyDescent="0.25">
      <c r="A133" s="15">
        <v>2</v>
      </c>
      <c r="B133" s="15" t="s">
        <v>1544</v>
      </c>
      <c r="C133" s="16">
        <v>33</v>
      </c>
      <c r="D133" s="16">
        <v>21377</v>
      </c>
      <c r="E133" s="16">
        <v>18868</v>
      </c>
      <c r="F133" s="18">
        <f t="shared" si="50"/>
        <v>0.88263086494830889</v>
      </c>
    </row>
    <row r="134" spans="1:6" ht="15" customHeight="1" x14ac:dyDescent="0.25">
      <c r="A134" s="15">
        <v>3</v>
      </c>
      <c r="B134" s="15" t="s">
        <v>77</v>
      </c>
      <c r="C134" s="16">
        <v>26</v>
      </c>
      <c r="D134" s="16">
        <v>15487</v>
      </c>
      <c r="E134" s="16">
        <v>12705</v>
      </c>
      <c r="F134" s="18">
        <f t="shared" si="50"/>
        <v>0.82036546781171304</v>
      </c>
    </row>
    <row r="135" spans="1:6" ht="15" customHeight="1" x14ac:dyDescent="0.25">
      <c r="A135" s="15">
        <v>4</v>
      </c>
      <c r="B135" s="15" t="s">
        <v>78</v>
      </c>
      <c r="C135" s="16">
        <v>29</v>
      </c>
      <c r="D135" s="16">
        <v>8159</v>
      </c>
      <c r="E135" s="16">
        <v>7414</v>
      </c>
      <c r="F135" s="18">
        <f t="shared" si="50"/>
        <v>0.90868979041549214</v>
      </c>
    </row>
    <row r="136" spans="1:6" ht="23.1" customHeight="1" x14ac:dyDescent="0.25">
      <c r="A136" s="22"/>
      <c r="B136" s="22" t="s">
        <v>79</v>
      </c>
      <c r="C136" s="14">
        <f t="shared" ref="C136" si="53">SUM(C138+C144)</f>
        <v>272</v>
      </c>
      <c r="D136" s="14">
        <f t="shared" ref="D136:E136" si="54">SUM(D138+D144)</f>
        <v>158555</v>
      </c>
      <c r="E136" s="14">
        <f t="shared" si="54"/>
        <v>140554</v>
      </c>
      <c r="F136" s="13">
        <f t="shared" si="50"/>
        <v>0.88646841789915176</v>
      </c>
    </row>
    <row r="137" spans="1:6" ht="23.1" customHeight="1" x14ac:dyDescent="0.25">
      <c r="A137" s="22"/>
      <c r="B137" s="22" t="s">
        <v>22</v>
      </c>
      <c r="C137" s="14"/>
      <c r="D137" s="14"/>
      <c r="E137" s="14"/>
      <c r="F137" s="18"/>
    </row>
    <row r="138" spans="1:6" ht="23.1" customHeight="1" x14ac:dyDescent="0.25">
      <c r="A138" s="22"/>
      <c r="B138" s="22" t="s">
        <v>23</v>
      </c>
      <c r="C138" s="14">
        <f t="shared" ref="C138" si="55">SUM(C139:C143)</f>
        <v>122</v>
      </c>
      <c r="D138" s="14">
        <f t="shared" ref="D138:E138" si="56">SUM(D139:D143)</f>
        <v>59667</v>
      </c>
      <c r="E138" s="14">
        <f t="shared" si="56"/>
        <v>54091</v>
      </c>
      <c r="F138" s="13">
        <f t="shared" ref="F138:F148" si="57">SUM(E138/D138)</f>
        <v>0.90654800811168657</v>
      </c>
    </row>
    <row r="139" spans="1:6" ht="15" customHeight="1" x14ac:dyDescent="0.25">
      <c r="A139" s="15">
        <v>1</v>
      </c>
      <c r="B139" s="15" t="s">
        <v>80</v>
      </c>
      <c r="C139" s="16">
        <v>28</v>
      </c>
      <c r="D139" s="16">
        <v>9361</v>
      </c>
      <c r="E139" s="16">
        <v>8442</v>
      </c>
      <c r="F139" s="18">
        <f t="shared" si="57"/>
        <v>0.90182672791368446</v>
      </c>
    </row>
    <row r="140" spans="1:6" ht="15" customHeight="1" x14ac:dyDescent="0.25">
      <c r="A140" s="15">
        <v>2</v>
      </c>
      <c r="B140" s="15" t="s">
        <v>81</v>
      </c>
      <c r="C140" s="16">
        <v>19</v>
      </c>
      <c r="D140" s="16">
        <v>9890</v>
      </c>
      <c r="E140" s="16">
        <v>9002</v>
      </c>
      <c r="F140" s="18">
        <f t="shared" si="57"/>
        <v>0.91021233569261883</v>
      </c>
    </row>
    <row r="141" spans="1:6" ht="15" customHeight="1" x14ac:dyDescent="0.25">
      <c r="A141" s="23">
        <v>3</v>
      </c>
      <c r="B141" s="15" t="s">
        <v>82</v>
      </c>
      <c r="C141" s="16">
        <v>18</v>
      </c>
      <c r="D141" s="16">
        <v>7592</v>
      </c>
      <c r="E141" s="16">
        <v>6900</v>
      </c>
      <c r="F141" s="18">
        <f t="shared" si="57"/>
        <v>0.90885142255005269</v>
      </c>
    </row>
    <row r="142" spans="1:6" ht="15" customHeight="1" x14ac:dyDescent="0.25">
      <c r="A142" s="15">
        <v>4</v>
      </c>
      <c r="B142" s="15" t="s">
        <v>83</v>
      </c>
      <c r="C142" s="16">
        <v>36</v>
      </c>
      <c r="D142" s="16">
        <v>21564</v>
      </c>
      <c r="E142" s="16">
        <v>18727</v>
      </c>
      <c r="F142" s="18">
        <f t="shared" si="57"/>
        <v>0.86843813763680211</v>
      </c>
    </row>
    <row r="143" spans="1:6" ht="15" customHeight="1" x14ac:dyDescent="0.25">
      <c r="A143" s="15">
        <v>5</v>
      </c>
      <c r="B143" s="15" t="s">
        <v>84</v>
      </c>
      <c r="C143" s="16">
        <v>21</v>
      </c>
      <c r="D143" s="16">
        <v>11260</v>
      </c>
      <c r="E143" s="16">
        <v>11020</v>
      </c>
      <c r="F143" s="18">
        <f t="shared" si="57"/>
        <v>0.97868561278863231</v>
      </c>
    </row>
    <row r="144" spans="1:6" ht="23.1" customHeight="1" x14ac:dyDescent="0.25">
      <c r="A144" s="22"/>
      <c r="B144" s="22" t="s">
        <v>39</v>
      </c>
      <c r="C144" s="14">
        <f t="shared" ref="C144" si="58">SUM(C145:C147)</f>
        <v>150</v>
      </c>
      <c r="D144" s="14">
        <f t="shared" ref="D144:E144" si="59">SUM(D145:D147)</f>
        <v>98888</v>
      </c>
      <c r="E144" s="14">
        <f t="shared" si="59"/>
        <v>86463</v>
      </c>
      <c r="F144" s="13">
        <f t="shared" si="57"/>
        <v>0.87435280317126451</v>
      </c>
    </row>
    <row r="145" spans="1:6" ht="15" customHeight="1" x14ac:dyDescent="0.25">
      <c r="A145" s="15">
        <v>1</v>
      </c>
      <c r="B145" s="15" t="s">
        <v>1266</v>
      </c>
      <c r="C145" s="16">
        <v>22</v>
      </c>
      <c r="D145" s="16">
        <v>14299</v>
      </c>
      <c r="E145" s="16">
        <v>12617</v>
      </c>
      <c r="F145" s="18">
        <f t="shared" si="57"/>
        <v>0.88236939646129098</v>
      </c>
    </row>
    <row r="146" spans="1:6" ht="15" customHeight="1" x14ac:dyDescent="0.25">
      <c r="A146" s="15">
        <v>2</v>
      </c>
      <c r="B146" s="15" t="s">
        <v>85</v>
      </c>
      <c r="C146" s="16">
        <v>22</v>
      </c>
      <c r="D146" s="16">
        <v>10017</v>
      </c>
      <c r="E146" s="16">
        <v>8636</v>
      </c>
      <c r="F146" s="18">
        <f t="shared" si="57"/>
        <v>0.86213437156833383</v>
      </c>
    </row>
    <row r="147" spans="1:6" ht="15" customHeight="1" x14ac:dyDescent="0.25">
      <c r="A147" s="15"/>
      <c r="B147" s="24" t="s">
        <v>1336</v>
      </c>
      <c r="C147" s="16">
        <v>106</v>
      </c>
      <c r="D147" s="16">
        <v>74572</v>
      </c>
      <c r="E147" s="16">
        <v>65210</v>
      </c>
      <c r="F147" s="18">
        <f t="shared" si="57"/>
        <v>0.87445690071340454</v>
      </c>
    </row>
    <row r="148" spans="1:6" ht="23.1" customHeight="1" x14ac:dyDescent="0.25">
      <c r="A148" s="22"/>
      <c r="B148" s="22" t="s">
        <v>86</v>
      </c>
      <c r="C148" s="14">
        <f t="shared" ref="C148" si="60">SUM(C150+C156)</f>
        <v>234</v>
      </c>
      <c r="D148" s="14">
        <f t="shared" ref="D148:E148" si="61">SUM(D150+D156)</f>
        <v>121647</v>
      </c>
      <c r="E148" s="14">
        <f t="shared" si="61"/>
        <v>99363</v>
      </c>
      <c r="F148" s="13">
        <f t="shared" si="57"/>
        <v>0.81681422476509902</v>
      </c>
    </row>
    <row r="149" spans="1:6" ht="23.1" customHeight="1" x14ac:dyDescent="0.25">
      <c r="A149" s="22"/>
      <c r="B149" s="22" t="s">
        <v>22</v>
      </c>
      <c r="C149" s="14"/>
      <c r="D149" s="14"/>
      <c r="E149" s="14"/>
      <c r="F149" s="18"/>
    </row>
    <row r="150" spans="1:6" ht="23.1" customHeight="1" x14ac:dyDescent="0.25">
      <c r="A150" s="22"/>
      <c r="B150" s="22" t="s">
        <v>23</v>
      </c>
      <c r="C150" s="14">
        <f t="shared" ref="C150" si="62">SUM(C151:C155)</f>
        <v>104</v>
      </c>
      <c r="D150" s="14">
        <f t="shared" ref="D150:E150" si="63">SUM(D151:D155)</f>
        <v>58381</v>
      </c>
      <c r="E150" s="14">
        <f t="shared" si="63"/>
        <v>49135</v>
      </c>
      <c r="F150" s="13">
        <f t="shared" ref="F150:F181" si="64">SUM(E150/D150)</f>
        <v>0.84162655658519037</v>
      </c>
    </row>
    <row r="151" spans="1:6" ht="15" customHeight="1" x14ac:dyDescent="0.25">
      <c r="A151" s="15">
        <v>1</v>
      </c>
      <c r="B151" s="15" t="s">
        <v>87</v>
      </c>
      <c r="C151" s="16">
        <v>11</v>
      </c>
      <c r="D151" s="16">
        <v>4352</v>
      </c>
      <c r="E151" s="16">
        <v>3558</v>
      </c>
      <c r="F151" s="18">
        <f t="shared" si="64"/>
        <v>0.81755514705882348</v>
      </c>
    </row>
    <row r="152" spans="1:6" ht="15" customHeight="1" x14ac:dyDescent="0.25">
      <c r="A152" s="15">
        <v>2</v>
      </c>
      <c r="B152" s="15" t="s">
        <v>1352</v>
      </c>
      <c r="C152" s="16">
        <v>24</v>
      </c>
      <c r="D152" s="16">
        <v>16723</v>
      </c>
      <c r="E152" s="16">
        <v>14509</v>
      </c>
      <c r="F152" s="18">
        <f t="shared" si="64"/>
        <v>0.86760748669497101</v>
      </c>
    </row>
    <row r="153" spans="1:6" ht="15" customHeight="1" x14ac:dyDescent="0.25">
      <c r="A153" s="15">
        <v>3</v>
      </c>
      <c r="B153" s="15" t="s">
        <v>88</v>
      </c>
      <c r="C153" s="16">
        <v>15</v>
      </c>
      <c r="D153" s="16">
        <v>8674</v>
      </c>
      <c r="E153" s="16">
        <v>6972</v>
      </c>
      <c r="F153" s="18">
        <f t="shared" si="64"/>
        <v>0.8037814157251556</v>
      </c>
    </row>
    <row r="154" spans="1:6" ht="15" customHeight="1" x14ac:dyDescent="0.25">
      <c r="A154" s="15">
        <v>4</v>
      </c>
      <c r="B154" s="15" t="s">
        <v>89</v>
      </c>
      <c r="C154" s="16">
        <v>44</v>
      </c>
      <c r="D154" s="16">
        <v>22269</v>
      </c>
      <c r="E154" s="16">
        <v>18632</v>
      </c>
      <c r="F154" s="18">
        <f t="shared" si="64"/>
        <v>0.8366787911446405</v>
      </c>
    </row>
    <row r="155" spans="1:6" ht="15" customHeight="1" x14ac:dyDescent="0.25">
      <c r="A155" s="15">
        <v>5</v>
      </c>
      <c r="B155" s="15" t="s">
        <v>90</v>
      </c>
      <c r="C155" s="16">
        <v>10</v>
      </c>
      <c r="D155" s="16">
        <v>6363</v>
      </c>
      <c r="E155" s="16">
        <v>5464</v>
      </c>
      <c r="F155" s="18">
        <f t="shared" si="64"/>
        <v>0.8587144428728587</v>
      </c>
    </row>
    <row r="156" spans="1:6" ht="23.1" customHeight="1" x14ac:dyDescent="0.25">
      <c r="A156" s="22"/>
      <c r="B156" s="22" t="s">
        <v>39</v>
      </c>
      <c r="C156" s="14">
        <f t="shared" ref="C156" si="65">SUM(C157:C161)</f>
        <v>130</v>
      </c>
      <c r="D156" s="14">
        <f t="shared" ref="D156:E156" si="66">SUM(D157:D161)</f>
        <v>63266</v>
      </c>
      <c r="E156" s="14">
        <f t="shared" si="66"/>
        <v>50228</v>
      </c>
      <c r="F156" s="13">
        <f t="shared" si="64"/>
        <v>0.79391774412796767</v>
      </c>
    </row>
    <row r="157" spans="1:6" ht="15" customHeight="1" x14ac:dyDescent="0.25">
      <c r="A157" s="15">
        <v>1</v>
      </c>
      <c r="B157" s="15" t="s">
        <v>91</v>
      </c>
      <c r="C157" s="16">
        <v>49</v>
      </c>
      <c r="D157" s="16">
        <v>26811</v>
      </c>
      <c r="E157" s="16">
        <v>20395</v>
      </c>
      <c r="F157" s="18">
        <f t="shared" si="64"/>
        <v>0.76069523702957742</v>
      </c>
    </row>
    <row r="158" spans="1:6" ht="15" customHeight="1" x14ac:dyDescent="0.25">
      <c r="A158" s="15">
        <v>2</v>
      </c>
      <c r="B158" s="15" t="s">
        <v>92</v>
      </c>
      <c r="C158" s="16">
        <v>17</v>
      </c>
      <c r="D158" s="16">
        <v>6277</v>
      </c>
      <c r="E158" s="16">
        <v>4687</v>
      </c>
      <c r="F158" s="18">
        <f t="shared" si="64"/>
        <v>0.74669428070734423</v>
      </c>
    </row>
    <row r="159" spans="1:6" ht="15" customHeight="1" x14ac:dyDescent="0.25">
      <c r="A159" s="15">
        <v>3</v>
      </c>
      <c r="B159" s="15" t="s">
        <v>93</v>
      </c>
      <c r="C159" s="16">
        <v>18</v>
      </c>
      <c r="D159" s="16">
        <v>8808</v>
      </c>
      <c r="E159" s="16">
        <v>6884</v>
      </c>
      <c r="F159" s="18">
        <f t="shared" si="64"/>
        <v>0.78156221616712085</v>
      </c>
    </row>
    <row r="160" spans="1:6" ht="15" customHeight="1" x14ac:dyDescent="0.25">
      <c r="A160" s="15">
        <v>4</v>
      </c>
      <c r="B160" s="15" t="s">
        <v>94</v>
      </c>
      <c r="C160" s="16">
        <v>23</v>
      </c>
      <c r="D160" s="16">
        <v>9030</v>
      </c>
      <c r="E160" s="16">
        <v>7751</v>
      </c>
      <c r="F160" s="18">
        <f t="shared" si="64"/>
        <v>0.85836101882613514</v>
      </c>
    </row>
    <row r="161" spans="1:6" ht="15" customHeight="1" x14ac:dyDescent="0.25">
      <c r="A161" s="15">
        <v>5</v>
      </c>
      <c r="B161" s="15" t="s">
        <v>95</v>
      </c>
      <c r="C161" s="16">
        <v>23</v>
      </c>
      <c r="D161" s="16">
        <v>12340</v>
      </c>
      <c r="E161" s="16">
        <v>10511</v>
      </c>
      <c r="F161" s="18">
        <f t="shared" si="64"/>
        <v>0.85178282009724471</v>
      </c>
    </row>
    <row r="162" spans="1:6" ht="23.1" customHeight="1" x14ac:dyDescent="0.25">
      <c r="A162" s="140" t="s">
        <v>96</v>
      </c>
      <c r="B162" s="140"/>
      <c r="C162" s="14">
        <f t="shared" ref="C162" si="67">SUM(C163+C189+C226+C249)</f>
        <v>5337</v>
      </c>
      <c r="D162" s="14">
        <f t="shared" ref="D162:E162" si="68">SUM(D163+D189+D226+D249)</f>
        <v>3633900</v>
      </c>
      <c r="E162" s="14">
        <f t="shared" si="68"/>
        <v>3178310</v>
      </c>
      <c r="F162" s="13">
        <f t="shared" si="64"/>
        <v>0.87462781034150638</v>
      </c>
    </row>
    <row r="163" spans="1:6" ht="23.1" customHeight="1" x14ac:dyDescent="0.25">
      <c r="A163" s="22"/>
      <c r="B163" s="22" t="s">
        <v>97</v>
      </c>
      <c r="C163" s="14">
        <f t="shared" ref="C163" si="69">SUM(C164:C188)/2</f>
        <v>706</v>
      </c>
      <c r="D163" s="14">
        <f t="shared" ref="D163:E163" si="70">SUM(D164:D188)/2</f>
        <v>436087</v>
      </c>
      <c r="E163" s="14">
        <f t="shared" si="70"/>
        <v>387957</v>
      </c>
      <c r="F163" s="13">
        <f t="shared" si="64"/>
        <v>0.88963211469271042</v>
      </c>
    </row>
    <row r="164" spans="1:6" ht="23.1" customHeight="1" x14ac:dyDescent="0.25">
      <c r="A164" s="22"/>
      <c r="B164" s="22" t="s">
        <v>6</v>
      </c>
      <c r="C164" s="14">
        <f t="shared" ref="C164" si="71">SUM(C165:C176)</f>
        <v>374</v>
      </c>
      <c r="D164" s="14">
        <f t="shared" ref="D164:E164" si="72">SUM(D165:D176)</f>
        <v>228771</v>
      </c>
      <c r="E164" s="14">
        <f t="shared" si="72"/>
        <v>201859</v>
      </c>
      <c r="F164" s="13">
        <f t="shared" si="64"/>
        <v>0.8823627120570352</v>
      </c>
    </row>
    <row r="165" spans="1:6" ht="15" customHeight="1" x14ac:dyDescent="0.25">
      <c r="A165" s="15">
        <v>1</v>
      </c>
      <c r="B165" s="15" t="s">
        <v>98</v>
      </c>
      <c r="C165" s="16">
        <v>2</v>
      </c>
      <c r="D165" s="16">
        <v>1952</v>
      </c>
      <c r="E165" s="16">
        <v>1755</v>
      </c>
      <c r="F165" s="18">
        <f t="shared" si="64"/>
        <v>0.89907786885245899</v>
      </c>
    </row>
    <row r="166" spans="1:6" ht="15" customHeight="1" x14ac:dyDescent="0.25">
      <c r="A166" s="15">
        <v>2</v>
      </c>
      <c r="B166" s="15" t="s">
        <v>99</v>
      </c>
      <c r="C166" s="16">
        <v>45</v>
      </c>
      <c r="D166" s="16">
        <v>22671</v>
      </c>
      <c r="E166" s="16">
        <v>19879</v>
      </c>
      <c r="F166" s="18">
        <f t="shared" si="64"/>
        <v>0.87684707335362355</v>
      </c>
    </row>
    <row r="167" spans="1:6" ht="15" customHeight="1" x14ac:dyDescent="0.25">
      <c r="A167" s="15">
        <v>3</v>
      </c>
      <c r="B167" s="15" t="s">
        <v>100</v>
      </c>
      <c r="C167" s="16">
        <v>21</v>
      </c>
      <c r="D167" s="16">
        <v>11403</v>
      </c>
      <c r="E167" s="16">
        <v>10275</v>
      </c>
      <c r="F167" s="18">
        <f t="shared" si="64"/>
        <v>0.90107866350960275</v>
      </c>
    </row>
    <row r="168" spans="1:6" ht="15" customHeight="1" x14ac:dyDescent="0.25">
      <c r="A168" s="15">
        <v>4</v>
      </c>
      <c r="B168" s="15" t="s">
        <v>101</v>
      </c>
      <c r="C168" s="16">
        <v>14</v>
      </c>
      <c r="D168" s="16">
        <v>8114</v>
      </c>
      <c r="E168" s="16">
        <v>7024</v>
      </c>
      <c r="F168" s="18">
        <f t="shared" si="64"/>
        <v>0.86566428395366035</v>
      </c>
    </row>
    <row r="169" spans="1:6" ht="15" customHeight="1" x14ac:dyDescent="0.25">
      <c r="A169" s="15">
        <v>5</v>
      </c>
      <c r="B169" s="15" t="s">
        <v>102</v>
      </c>
      <c r="C169" s="16">
        <v>3</v>
      </c>
      <c r="D169" s="16">
        <v>1421</v>
      </c>
      <c r="E169" s="16">
        <v>1309</v>
      </c>
      <c r="F169" s="18">
        <f t="shared" si="64"/>
        <v>0.9211822660098522</v>
      </c>
    </row>
    <row r="170" spans="1:6" ht="15" customHeight="1" x14ac:dyDescent="0.25">
      <c r="A170" s="15">
        <v>6</v>
      </c>
      <c r="B170" s="15" t="s">
        <v>103</v>
      </c>
      <c r="C170" s="16">
        <v>4</v>
      </c>
      <c r="D170" s="16">
        <v>2177</v>
      </c>
      <c r="E170" s="16">
        <v>1904</v>
      </c>
      <c r="F170" s="18">
        <f t="shared" si="64"/>
        <v>0.87459807073954987</v>
      </c>
    </row>
    <row r="171" spans="1:6" ht="15" customHeight="1" x14ac:dyDescent="0.25">
      <c r="A171" s="15">
        <v>7</v>
      </c>
      <c r="B171" s="15" t="s">
        <v>104</v>
      </c>
      <c r="C171" s="16">
        <v>27</v>
      </c>
      <c r="D171" s="16">
        <v>19875</v>
      </c>
      <c r="E171" s="16">
        <v>18017</v>
      </c>
      <c r="F171" s="18">
        <f t="shared" si="64"/>
        <v>0.90651572327044028</v>
      </c>
    </row>
    <row r="172" spans="1:6" ht="15" customHeight="1" x14ac:dyDescent="0.25">
      <c r="A172" s="15">
        <v>8</v>
      </c>
      <c r="B172" s="15" t="s">
        <v>105</v>
      </c>
      <c r="C172" s="16">
        <v>41</v>
      </c>
      <c r="D172" s="16">
        <v>22389</v>
      </c>
      <c r="E172" s="16">
        <v>19603</v>
      </c>
      <c r="F172" s="18">
        <f t="shared" si="64"/>
        <v>0.8755638929831614</v>
      </c>
    </row>
    <row r="173" spans="1:6" ht="15" customHeight="1" x14ac:dyDescent="0.25">
      <c r="A173" s="15">
        <v>9</v>
      </c>
      <c r="B173" s="15" t="s">
        <v>106</v>
      </c>
      <c r="C173" s="16">
        <v>29</v>
      </c>
      <c r="D173" s="16">
        <v>15534</v>
      </c>
      <c r="E173" s="16">
        <v>13870</v>
      </c>
      <c r="F173" s="18">
        <f t="shared" si="64"/>
        <v>0.89288013389983267</v>
      </c>
    </row>
    <row r="174" spans="1:6" ht="15" customHeight="1" x14ac:dyDescent="0.25">
      <c r="A174" s="15">
        <v>10</v>
      </c>
      <c r="B174" s="15" t="s">
        <v>107</v>
      </c>
      <c r="C174" s="16">
        <v>29</v>
      </c>
      <c r="D174" s="16">
        <v>18042</v>
      </c>
      <c r="E174" s="16">
        <v>16108</v>
      </c>
      <c r="F174" s="18">
        <f t="shared" si="64"/>
        <v>0.89280567564571556</v>
      </c>
    </row>
    <row r="175" spans="1:6" ht="15" customHeight="1" x14ac:dyDescent="0.25">
      <c r="A175" s="15">
        <v>11</v>
      </c>
      <c r="B175" s="15" t="s">
        <v>108</v>
      </c>
      <c r="C175" s="16">
        <v>43</v>
      </c>
      <c r="D175" s="16">
        <v>22505</v>
      </c>
      <c r="E175" s="16">
        <v>19858</v>
      </c>
      <c r="F175" s="18">
        <f t="shared" si="64"/>
        <v>0.88238169295712066</v>
      </c>
    </row>
    <row r="176" spans="1:6" ht="15" customHeight="1" x14ac:dyDescent="0.25">
      <c r="A176" s="15"/>
      <c r="B176" s="24" t="s">
        <v>1337</v>
      </c>
      <c r="C176" s="16">
        <v>116</v>
      </c>
      <c r="D176" s="16">
        <v>82688</v>
      </c>
      <c r="E176" s="16">
        <v>72257</v>
      </c>
      <c r="F176" s="18">
        <f t="shared" si="64"/>
        <v>0.87385110294117652</v>
      </c>
    </row>
    <row r="177" spans="1:6" ht="23.1" customHeight="1" x14ac:dyDescent="0.25">
      <c r="A177" s="22"/>
      <c r="B177" s="22" t="s">
        <v>7</v>
      </c>
      <c r="C177" s="14">
        <f t="shared" ref="C177" si="73">SUM(C178:C188)</f>
        <v>332</v>
      </c>
      <c r="D177" s="14">
        <f t="shared" ref="D177:E177" si="74">SUM(D178:D188)</f>
        <v>207316</v>
      </c>
      <c r="E177" s="14">
        <f t="shared" si="74"/>
        <v>186098</v>
      </c>
      <c r="F177" s="13">
        <f t="shared" si="64"/>
        <v>0.89765382314920217</v>
      </c>
    </row>
    <row r="178" spans="1:6" ht="15" customHeight="1" x14ac:dyDescent="0.25">
      <c r="A178" s="15">
        <v>1</v>
      </c>
      <c r="B178" s="15" t="s">
        <v>109</v>
      </c>
      <c r="C178" s="16">
        <v>35</v>
      </c>
      <c r="D178" s="16">
        <v>22844</v>
      </c>
      <c r="E178" s="16">
        <v>20860</v>
      </c>
      <c r="F178" s="18">
        <f t="shared" si="64"/>
        <v>0.91315006128523901</v>
      </c>
    </row>
    <row r="179" spans="1:6" ht="15" customHeight="1" x14ac:dyDescent="0.25">
      <c r="A179" s="15">
        <v>2</v>
      </c>
      <c r="B179" s="15" t="s">
        <v>1534</v>
      </c>
      <c r="C179" s="16">
        <v>20</v>
      </c>
      <c r="D179" s="16">
        <v>13118</v>
      </c>
      <c r="E179" s="16">
        <v>11636</v>
      </c>
      <c r="F179" s="18">
        <f t="shared" si="64"/>
        <v>0.88702546119835346</v>
      </c>
    </row>
    <row r="180" spans="1:6" ht="15" customHeight="1" x14ac:dyDescent="0.25">
      <c r="A180" s="15">
        <v>3</v>
      </c>
      <c r="B180" s="15" t="s">
        <v>110</v>
      </c>
      <c r="C180" s="16">
        <v>23</v>
      </c>
      <c r="D180" s="16">
        <v>10473</v>
      </c>
      <c r="E180" s="16">
        <v>9482</v>
      </c>
      <c r="F180" s="18">
        <f t="shared" si="64"/>
        <v>0.90537572806263722</v>
      </c>
    </row>
    <row r="181" spans="1:6" ht="15" customHeight="1" x14ac:dyDescent="0.25">
      <c r="A181" s="15">
        <v>4</v>
      </c>
      <c r="B181" s="15" t="s">
        <v>111</v>
      </c>
      <c r="C181" s="16">
        <v>39</v>
      </c>
      <c r="D181" s="16">
        <v>26583</v>
      </c>
      <c r="E181" s="16">
        <v>23609</v>
      </c>
      <c r="F181" s="18">
        <f t="shared" si="64"/>
        <v>0.88812398901553624</v>
      </c>
    </row>
    <row r="182" spans="1:6" ht="15" customHeight="1" x14ac:dyDescent="0.25">
      <c r="A182" s="15">
        <v>5</v>
      </c>
      <c r="B182" s="15" t="s">
        <v>112</v>
      </c>
      <c r="C182" s="16">
        <v>19</v>
      </c>
      <c r="D182" s="16">
        <v>12974</v>
      </c>
      <c r="E182" s="16">
        <v>11490</v>
      </c>
      <c r="F182" s="18">
        <f t="shared" ref="F182:F213" si="75">SUM(E182/D182)</f>
        <v>0.88561738862340067</v>
      </c>
    </row>
    <row r="183" spans="1:6" ht="15" customHeight="1" x14ac:dyDescent="0.25">
      <c r="A183" s="15">
        <v>6</v>
      </c>
      <c r="B183" s="15" t="s">
        <v>113</v>
      </c>
      <c r="C183" s="16">
        <v>12</v>
      </c>
      <c r="D183" s="16">
        <v>6261</v>
      </c>
      <c r="E183" s="16">
        <v>5565</v>
      </c>
      <c r="F183" s="18">
        <f t="shared" si="75"/>
        <v>0.88883564925730718</v>
      </c>
    </row>
    <row r="184" spans="1:6" ht="15" customHeight="1" x14ac:dyDescent="0.25">
      <c r="A184" s="15">
        <v>7</v>
      </c>
      <c r="B184" s="15" t="s">
        <v>114</v>
      </c>
      <c r="C184" s="16">
        <v>35</v>
      </c>
      <c r="D184" s="16">
        <v>17720</v>
      </c>
      <c r="E184" s="16">
        <v>16115</v>
      </c>
      <c r="F184" s="18">
        <f t="shared" si="75"/>
        <v>0.90942437923250563</v>
      </c>
    </row>
    <row r="185" spans="1:6" ht="15" customHeight="1" x14ac:dyDescent="0.25">
      <c r="A185" s="15">
        <v>8</v>
      </c>
      <c r="B185" s="15" t="s">
        <v>115</v>
      </c>
      <c r="C185" s="16">
        <v>26</v>
      </c>
      <c r="D185" s="16">
        <v>12733</v>
      </c>
      <c r="E185" s="16">
        <v>11471</v>
      </c>
      <c r="F185" s="18">
        <f t="shared" si="75"/>
        <v>0.90088745778685309</v>
      </c>
    </row>
    <row r="186" spans="1:6" ht="15" customHeight="1" x14ac:dyDescent="0.25">
      <c r="A186" s="15">
        <v>9</v>
      </c>
      <c r="B186" s="15" t="s">
        <v>116</v>
      </c>
      <c r="C186" s="16">
        <v>38</v>
      </c>
      <c r="D186" s="16">
        <v>26471</v>
      </c>
      <c r="E186" s="16">
        <v>23636</v>
      </c>
      <c r="F186" s="18">
        <f t="shared" si="75"/>
        <v>0.89290166597408482</v>
      </c>
    </row>
    <row r="187" spans="1:6" ht="15" customHeight="1" x14ac:dyDescent="0.25">
      <c r="A187" s="15">
        <v>10</v>
      </c>
      <c r="B187" s="15" t="s">
        <v>117</v>
      </c>
      <c r="C187" s="16">
        <v>26</v>
      </c>
      <c r="D187" s="16">
        <v>18043</v>
      </c>
      <c r="E187" s="16">
        <v>15765</v>
      </c>
      <c r="F187" s="18">
        <f t="shared" si="75"/>
        <v>0.87374605110014969</v>
      </c>
    </row>
    <row r="188" spans="1:6" ht="15" customHeight="1" x14ac:dyDescent="0.25">
      <c r="A188" s="15"/>
      <c r="B188" s="24" t="s">
        <v>1338</v>
      </c>
      <c r="C188" s="16">
        <v>59</v>
      </c>
      <c r="D188" s="16">
        <v>40096</v>
      </c>
      <c r="E188" s="16">
        <v>36469</v>
      </c>
      <c r="F188" s="18">
        <f t="shared" si="75"/>
        <v>0.90954209896249005</v>
      </c>
    </row>
    <row r="189" spans="1:6" ht="23.1" customHeight="1" x14ac:dyDescent="0.25">
      <c r="A189" s="22"/>
      <c r="B189" s="22" t="s">
        <v>118</v>
      </c>
      <c r="C189" s="14">
        <f t="shared" ref="C189" si="76">SUM(C190:C225)/2</f>
        <v>922</v>
      </c>
      <c r="D189" s="14">
        <f t="shared" ref="D189:E189" si="77">SUM(D190:D225)/2</f>
        <v>487233</v>
      </c>
      <c r="E189" s="14">
        <f t="shared" si="77"/>
        <v>432555</v>
      </c>
      <c r="F189" s="13">
        <f t="shared" si="75"/>
        <v>0.887778537168049</v>
      </c>
    </row>
    <row r="190" spans="1:6" ht="23.1" customHeight="1" x14ac:dyDescent="0.25">
      <c r="A190" s="22"/>
      <c r="B190" s="22" t="s">
        <v>6</v>
      </c>
      <c r="C190" s="14">
        <f t="shared" ref="C190" si="78">SUM(C191:C201)</f>
        <v>352</v>
      </c>
      <c r="D190" s="14">
        <f t="shared" ref="D190:E190" si="79">SUM(D191:D201)</f>
        <v>205761</v>
      </c>
      <c r="E190" s="14">
        <f t="shared" si="79"/>
        <v>181487</v>
      </c>
      <c r="F190" s="13">
        <f t="shared" si="75"/>
        <v>0.88202817832339464</v>
      </c>
    </row>
    <row r="191" spans="1:6" ht="15" customHeight="1" x14ac:dyDescent="0.25">
      <c r="A191" s="15">
        <v>1</v>
      </c>
      <c r="B191" s="15" t="s">
        <v>119</v>
      </c>
      <c r="C191" s="16">
        <v>39</v>
      </c>
      <c r="D191" s="16">
        <v>22181</v>
      </c>
      <c r="E191" s="16">
        <v>19129</v>
      </c>
      <c r="F191" s="18">
        <f t="shared" si="75"/>
        <v>0.8624047608313421</v>
      </c>
    </row>
    <row r="192" spans="1:6" ht="15" customHeight="1" x14ac:dyDescent="0.25">
      <c r="A192" s="15">
        <v>2</v>
      </c>
      <c r="B192" s="15" t="s">
        <v>120</v>
      </c>
      <c r="C192" s="16">
        <v>44</v>
      </c>
      <c r="D192" s="16">
        <v>28479</v>
      </c>
      <c r="E192" s="16">
        <v>25081</v>
      </c>
      <c r="F192" s="18">
        <f t="shared" si="75"/>
        <v>0.88068401278134767</v>
      </c>
    </row>
    <row r="193" spans="1:6" ht="15" customHeight="1" x14ac:dyDescent="0.25">
      <c r="A193" s="15">
        <v>3</v>
      </c>
      <c r="B193" s="15" t="s">
        <v>121</v>
      </c>
      <c r="C193" s="16">
        <v>20</v>
      </c>
      <c r="D193" s="16">
        <v>14324</v>
      </c>
      <c r="E193" s="16">
        <v>12783</v>
      </c>
      <c r="F193" s="18">
        <f t="shared" si="75"/>
        <v>0.89241831890533374</v>
      </c>
    </row>
    <row r="194" spans="1:6" ht="15" customHeight="1" x14ac:dyDescent="0.25">
      <c r="A194" s="15">
        <v>4</v>
      </c>
      <c r="B194" s="15" t="s">
        <v>122</v>
      </c>
      <c r="C194" s="16">
        <v>35</v>
      </c>
      <c r="D194" s="16">
        <v>21030</v>
      </c>
      <c r="E194" s="16">
        <v>18219</v>
      </c>
      <c r="F194" s="18">
        <f t="shared" si="75"/>
        <v>0.86633380884450784</v>
      </c>
    </row>
    <row r="195" spans="1:6" ht="15" customHeight="1" x14ac:dyDescent="0.25">
      <c r="A195" s="15">
        <v>5</v>
      </c>
      <c r="B195" s="15" t="s">
        <v>123</v>
      </c>
      <c r="C195" s="16">
        <v>15</v>
      </c>
      <c r="D195" s="16">
        <v>6198</v>
      </c>
      <c r="E195" s="16">
        <v>5535</v>
      </c>
      <c r="F195" s="18">
        <f t="shared" si="75"/>
        <v>0.89303000968054214</v>
      </c>
    </row>
    <row r="196" spans="1:6" ht="15" customHeight="1" x14ac:dyDescent="0.25">
      <c r="A196" s="15">
        <v>6</v>
      </c>
      <c r="B196" s="15" t="s">
        <v>1461</v>
      </c>
      <c r="C196" s="16">
        <v>33</v>
      </c>
      <c r="D196" s="16">
        <v>18337</v>
      </c>
      <c r="E196" s="16">
        <v>15733</v>
      </c>
      <c r="F196" s="18">
        <f t="shared" si="75"/>
        <v>0.85799203795604517</v>
      </c>
    </row>
    <row r="197" spans="1:6" ht="15" customHeight="1" x14ac:dyDescent="0.25">
      <c r="A197" s="15">
        <v>7</v>
      </c>
      <c r="B197" s="15" t="s">
        <v>124</v>
      </c>
      <c r="C197" s="16">
        <v>14</v>
      </c>
      <c r="D197" s="16">
        <v>9288</v>
      </c>
      <c r="E197" s="16">
        <v>8447</v>
      </c>
      <c r="F197" s="18">
        <f t="shared" si="75"/>
        <v>0.90945305770887164</v>
      </c>
    </row>
    <row r="198" spans="1:6" ht="15" customHeight="1" x14ac:dyDescent="0.25">
      <c r="A198" s="15">
        <v>8</v>
      </c>
      <c r="B198" s="15" t="s">
        <v>125</v>
      </c>
      <c r="C198" s="16">
        <v>16</v>
      </c>
      <c r="D198" s="16">
        <v>11320</v>
      </c>
      <c r="E198" s="16">
        <v>10294</v>
      </c>
      <c r="F198" s="18">
        <f t="shared" si="75"/>
        <v>0.90936395759717314</v>
      </c>
    </row>
    <row r="199" spans="1:6" ht="15" customHeight="1" x14ac:dyDescent="0.25">
      <c r="A199" s="15">
        <v>9</v>
      </c>
      <c r="B199" s="15" t="s">
        <v>126</v>
      </c>
      <c r="C199" s="16">
        <v>36</v>
      </c>
      <c r="D199" s="16">
        <v>20229</v>
      </c>
      <c r="E199" s="16">
        <v>18711</v>
      </c>
      <c r="F199" s="18">
        <f t="shared" si="75"/>
        <v>0.92495921696574224</v>
      </c>
    </row>
    <row r="200" spans="1:6" ht="15" customHeight="1" x14ac:dyDescent="0.25">
      <c r="A200" s="15">
        <v>10</v>
      </c>
      <c r="B200" s="15" t="s">
        <v>127</v>
      </c>
      <c r="C200" s="16">
        <v>47</v>
      </c>
      <c r="D200" s="16">
        <v>19204</v>
      </c>
      <c r="E200" s="16">
        <v>17090</v>
      </c>
      <c r="F200" s="18">
        <f t="shared" si="75"/>
        <v>0.88991876692355765</v>
      </c>
    </row>
    <row r="201" spans="1:6" ht="15" customHeight="1" x14ac:dyDescent="0.25">
      <c r="A201" s="15"/>
      <c r="B201" s="24" t="s">
        <v>1339</v>
      </c>
      <c r="C201" s="16">
        <v>53</v>
      </c>
      <c r="D201" s="16">
        <v>35171</v>
      </c>
      <c r="E201" s="16">
        <v>30465</v>
      </c>
      <c r="F201" s="18">
        <f t="shared" si="75"/>
        <v>0.86619658241164599</v>
      </c>
    </row>
    <row r="202" spans="1:6" ht="23.1" customHeight="1" x14ac:dyDescent="0.25">
      <c r="A202" s="22"/>
      <c r="B202" s="22" t="s">
        <v>7</v>
      </c>
      <c r="C202" s="14">
        <f t="shared" ref="C202" si="80">SUM(C203:C225)</f>
        <v>570</v>
      </c>
      <c r="D202" s="14">
        <f t="shared" ref="D202:E202" si="81">SUM(D203:D225)</f>
        <v>281472</v>
      </c>
      <c r="E202" s="14">
        <f t="shared" si="81"/>
        <v>251068</v>
      </c>
      <c r="F202" s="13">
        <f t="shared" si="75"/>
        <v>0.89198215097771716</v>
      </c>
    </row>
    <row r="203" spans="1:6" ht="15" customHeight="1" x14ac:dyDescent="0.25">
      <c r="A203" s="15">
        <v>1</v>
      </c>
      <c r="B203" s="15" t="s">
        <v>128</v>
      </c>
      <c r="C203" s="16">
        <v>11</v>
      </c>
      <c r="D203" s="16">
        <v>4957</v>
      </c>
      <c r="E203" s="16">
        <v>4527</v>
      </c>
      <c r="F203" s="18">
        <f t="shared" si="75"/>
        <v>0.91325398426467619</v>
      </c>
    </row>
    <row r="204" spans="1:6" ht="15" customHeight="1" x14ac:dyDescent="0.25">
      <c r="A204" s="15">
        <v>2</v>
      </c>
      <c r="B204" s="15" t="s">
        <v>129</v>
      </c>
      <c r="C204" s="16">
        <v>15</v>
      </c>
      <c r="D204" s="16">
        <v>6540</v>
      </c>
      <c r="E204" s="16">
        <v>5986</v>
      </c>
      <c r="F204" s="18">
        <f t="shared" si="75"/>
        <v>0.91529051987767585</v>
      </c>
    </row>
    <row r="205" spans="1:6" ht="15" customHeight="1" x14ac:dyDescent="0.25">
      <c r="A205" s="15">
        <v>3</v>
      </c>
      <c r="B205" s="15" t="s">
        <v>101</v>
      </c>
      <c r="C205" s="16">
        <v>26</v>
      </c>
      <c r="D205" s="16">
        <v>9023</v>
      </c>
      <c r="E205" s="16">
        <v>8024</v>
      </c>
      <c r="F205" s="18">
        <f t="shared" si="75"/>
        <v>0.88928294358860693</v>
      </c>
    </row>
    <row r="206" spans="1:6" ht="15" customHeight="1" x14ac:dyDescent="0.25">
      <c r="A206" s="15">
        <v>4</v>
      </c>
      <c r="B206" s="15" t="s">
        <v>130</v>
      </c>
      <c r="C206" s="16">
        <v>26</v>
      </c>
      <c r="D206" s="16">
        <v>12342</v>
      </c>
      <c r="E206" s="16">
        <v>10984</v>
      </c>
      <c r="F206" s="18">
        <f t="shared" si="75"/>
        <v>0.88996921082482583</v>
      </c>
    </row>
    <row r="207" spans="1:6" ht="15" customHeight="1" x14ac:dyDescent="0.25">
      <c r="A207" s="15">
        <v>5</v>
      </c>
      <c r="B207" s="15" t="s">
        <v>131</v>
      </c>
      <c r="C207" s="16">
        <v>25</v>
      </c>
      <c r="D207" s="16">
        <v>7458</v>
      </c>
      <c r="E207" s="16">
        <v>6689</v>
      </c>
      <c r="F207" s="18">
        <f t="shared" si="75"/>
        <v>0.8968892464467686</v>
      </c>
    </row>
    <row r="208" spans="1:6" ht="15" customHeight="1" x14ac:dyDescent="0.25">
      <c r="A208" s="15">
        <v>6</v>
      </c>
      <c r="B208" s="15" t="s">
        <v>1537</v>
      </c>
      <c r="C208" s="16">
        <v>10</v>
      </c>
      <c r="D208" s="16">
        <v>3375</v>
      </c>
      <c r="E208" s="16">
        <v>3127</v>
      </c>
      <c r="F208" s="18">
        <f t="shared" si="75"/>
        <v>0.92651851851851852</v>
      </c>
    </row>
    <row r="209" spans="1:6" ht="15" customHeight="1" x14ac:dyDescent="0.25">
      <c r="A209" s="15">
        <v>7</v>
      </c>
      <c r="B209" s="15" t="s">
        <v>132</v>
      </c>
      <c r="C209" s="16">
        <v>11</v>
      </c>
      <c r="D209" s="16">
        <v>3742</v>
      </c>
      <c r="E209" s="16">
        <v>3353</v>
      </c>
      <c r="F209" s="18">
        <f t="shared" si="75"/>
        <v>0.896044895777659</v>
      </c>
    </row>
    <row r="210" spans="1:6" ht="15" customHeight="1" x14ac:dyDescent="0.25">
      <c r="A210" s="15">
        <v>8</v>
      </c>
      <c r="B210" s="15" t="s">
        <v>133</v>
      </c>
      <c r="C210" s="16">
        <v>12</v>
      </c>
      <c r="D210" s="16">
        <v>4026</v>
      </c>
      <c r="E210" s="16">
        <v>3659</v>
      </c>
      <c r="F210" s="18">
        <f t="shared" si="75"/>
        <v>0.90884252359662199</v>
      </c>
    </row>
    <row r="211" spans="1:6" ht="15" customHeight="1" x14ac:dyDescent="0.25">
      <c r="A211" s="15">
        <v>9</v>
      </c>
      <c r="B211" s="15" t="s">
        <v>134</v>
      </c>
      <c r="C211" s="16">
        <v>47</v>
      </c>
      <c r="D211" s="16">
        <v>31745</v>
      </c>
      <c r="E211" s="16">
        <v>28191</v>
      </c>
      <c r="F211" s="18">
        <f t="shared" si="75"/>
        <v>0.88804536147424795</v>
      </c>
    </row>
    <row r="212" spans="1:6" ht="15" customHeight="1" x14ac:dyDescent="0.25">
      <c r="A212" s="15">
        <v>10</v>
      </c>
      <c r="B212" s="15" t="s">
        <v>1535</v>
      </c>
      <c r="C212" s="16">
        <v>19</v>
      </c>
      <c r="D212" s="16">
        <v>7101</v>
      </c>
      <c r="E212" s="16">
        <v>6566</v>
      </c>
      <c r="F212" s="18">
        <f t="shared" si="75"/>
        <v>0.92465849880298545</v>
      </c>
    </row>
    <row r="213" spans="1:6" ht="15" customHeight="1" x14ac:dyDescent="0.25">
      <c r="A213" s="15">
        <v>11</v>
      </c>
      <c r="B213" s="15" t="s">
        <v>1536</v>
      </c>
      <c r="C213" s="16">
        <v>22</v>
      </c>
      <c r="D213" s="16">
        <v>8023</v>
      </c>
      <c r="E213" s="16">
        <v>7005</v>
      </c>
      <c r="F213" s="18">
        <f t="shared" si="75"/>
        <v>0.87311479496447708</v>
      </c>
    </row>
    <row r="214" spans="1:6" ht="15" customHeight="1" x14ac:dyDescent="0.25">
      <c r="A214" s="15">
        <v>12</v>
      </c>
      <c r="B214" s="15" t="s">
        <v>135</v>
      </c>
      <c r="C214" s="16">
        <v>12</v>
      </c>
      <c r="D214" s="16">
        <v>5545</v>
      </c>
      <c r="E214" s="16">
        <v>4967</v>
      </c>
      <c r="F214" s="18">
        <f t="shared" ref="F214:F245" si="82">SUM(E214/D214)</f>
        <v>0.89576194770063122</v>
      </c>
    </row>
    <row r="215" spans="1:6" ht="15" customHeight="1" x14ac:dyDescent="0.25">
      <c r="A215" s="15">
        <v>13</v>
      </c>
      <c r="B215" s="15" t="s">
        <v>136</v>
      </c>
      <c r="C215" s="16">
        <v>11</v>
      </c>
      <c r="D215" s="16">
        <v>6293</v>
      </c>
      <c r="E215" s="16">
        <v>5674</v>
      </c>
      <c r="F215" s="18">
        <f t="shared" si="82"/>
        <v>0.90163673923406962</v>
      </c>
    </row>
    <row r="216" spans="1:6" ht="15" customHeight="1" x14ac:dyDescent="0.25">
      <c r="A216" s="15">
        <v>14</v>
      </c>
      <c r="B216" s="15" t="s">
        <v>137</v>
      </c>
      <c r="C216" s="16">
        <v>27</v>
      </c>
      <c r="D216" s="16">
        <v>10477</v>
      </c>
      <c r="E216" s="16">
        <v>8966</v>
      </c>
      <c r="F216" s="18">
        <f t="shared" si="82"/>
        <v>0.85577932614297991</v>
      </c>
    </row>
    <row r="217" spans="1:6" ht="15" customHeight="1" x14ac:dyDescent="0.25">
      <c r="A217" s="15">
        <v>15</v>
      </c>
      <c r="B217" s="15" t="s">
        <v>138</v>
      </c>
      <c r="C217" s="16">
        <v>52</v>
      </c>
      <c r="D217" s="16">
        <v>26840</v>
      </c>
      <c r="E217" s="16">
        <v>23505</v>
      </c>
      <c r="F217" s="18">
        <f t="shared" si="82"/>
        <v>0.87574515648286144</v>
      </c>
    </row>
    <row r="218" spans="1:6" ht="15" customHeight="1" x14ac:dyDescent="0.25">
      <c r="A218" s="15">
        <v>16</v>
      </c>
      <c r="B218" s="15" t="s">
        <v>139</v>
      </c>
      <c r="C218" s="16">
        <v>36</v>
      </c>
      <c r="D218" s="16">
        <v>17621</v>
      </c>
      <c r="E218" s="16">
        <v>15494</v>
      </c>
      <c r="F218" s="18">
        <f t="shared" si="82"/>
        <v>0.87929175415697181</v>
      </c>
    </row>
    <row r="219" spans="1:6" ht="15" customHeight="1" x14ac:dyDescent="0.25">
      <c r="A219" s="15">
        <v>17</v>
      </c>
      <c r="B219" s="15" t="s">
        <v>140</v>
      </c>
      <c r="C219" s="16">
        <v>37</v>
      </c>
      <c r="D219" s="16">
        <v>21044</v>
      </c>
      <c r="E219" s="16">
        <v>18913</v>
      </c>
      <c r="F219" s="18">
        <f t="shared" si="82"/>
        <v>0.89873598175251856</v>
      </c>
    </row>
    <row r="220" spans="1:6" ht="15" customHeight="1" x14ac:dyDescent="0.25">
      <c r="A220" s="15">
        <v>18</v>
      </c>
      <c r="B220" s="15" t="s">
        <v>141</v>
      </c>
      <c r="C220" s="16">
        <v>27</v>
      </c>
      <c r="D220" s="16">
        <v>13984</v>
      </c>
      <c r="E220" s="16">
        <v>12750</v>
      </c>
      <c r="F220" s="18">
        <f t="shared" si="82"/>
        <v>0.91175629290617854</v>
      </c>
    </row>
    <row r="221" spans="1:6" ht="15" customHeight="1" x14ac:dyDescent="0.25">
      <c r="A221" s="15">
        <v>19</v>
      </c>
      <c r="B221" s="15" t="s">
        <v>142</v>
      </c>
      <c r="C221" s="16">
        <v>8</v>
      </c>
      <c r="D221" s="16">
        <v>2106</v>
      </c>
      <c r="E221" s="16">
        <v>1896</v>
      </c>
      <c r="F221" s="18">
        <f t="shared" si="82"/>
        <v>0.90028490028490027</v>
      </c>
    </row>
    <row r="222" spans="1:6" ht="15" customHeight="1" x14ac:dyDescent="0.25">
      <c r="A222" s="15">
        <v>20</v>
      </c>
      <c r="B222" s="15" t="s">
        <v>143</v>
      </c>
      <c r="C222" s="16">
        <v>7</v>
      </c>
      <c r="D222" s="16">
        <v>2772</v>
      </c>
      <c r="E222" s="16">
        <v>2577</v>
      </c>
      <c r="F222" s="18">
        <f t="shared" si="82"/>
        <v>0.92965367965367962</v>
      </c>
    </row>
    <row r="223" spans="1:6" ht="15" customHeight="1" x14ac:dyDescent="0.25">
      <c r="A223" s="15">
        <v>21</v>
      </c>
      <c r="B223" s="15" t="s">
        <v>144</v>
      </c>
      <c r="C223" s="16">
        <v>20</v>
      </c>
      <c r="D223" s="16">
        <v>7639</v>
      </c>
      <c r="E223" s="16">
        <v>6700</v>
      </c>
      <c r="F223" s="18">
        <f t="shared" si="82"/>
        <v>0.87707815159052227</v>
      </c>
    </row>
    <row r="224" spans="1:6" ht="15" customHeight="1" x14ac:dyDescent="0.25">
      <c r="A224" s="15">
        <v>22</v>
      </c>
      <c r="B224" s="15" t="s">
        <v>145</v>
      </c>
      <c r="C224" s="16">
        <v>49</v>
      </c>
      <c r="D224" s="16">
        <v>29437</v>
      </c>
      <c r="E224" s="16">
        <v>26525</v>
      </c>
      <c r="F224" s="18">
        <f t="shared" si="82"/>
        <v>0.90107687604035736</v>
      </c>
    </row>
    <row r="225" spans="1:6" ht="15" customHeight="1" x14ac:dyDescent="0.25">
      <c r="A225" s="15"/>
      <c r="B225" s="24" t="s">
        <v>1340</v>
      </c>
      <c r="C225" s="16">
        <v>60</v>
      </c>
      <c r="D225" s="16">
        <v>39382</v>
      </c>
      <c r="E225" s="16">
        <v>34990</v>
      </c>
      <c r="F225" s="18">
        <f t="shared" si="82"/>
        <v>0.8884769691737342</v>
      </c>
    </row>
    <row r="226" spans="1:6" ht="23.1" customHeight="1" x14ac:dyDescent="0.25">
      <c r="A226" s="22"/>
      <c r="B226" s="22" t="s">
        <v>146</v>
      </c>
      <c r="C226" s="14">
        <f t="shared" ref="C226" si="83">SUM(C227+C237)</f>
        <v>840</v>
      </c>
      <c r="D226" s="14">
        <f t="shared" ref="D226:E226" si="84">SUM(D227+D237)</f>
        <v>554274</v>
      </c>
      <c r="E226" s="14">
        <f t="shared" si="84"/>
        <v>487073</v>
      </c>
      <c r="F226" s="13">
        <f t="shared" si="82"/>
        <v>0.8787585201542919</v>
      </c>
    </row>
    <row r="227" spans="1:6" ht="23.1" customHeight="1" x14ac:dyDescent="0.25">
      <c r="A227" s="22"/>
      <c r="B227" s="22" t="s">
        <v>6</v>
      </c>
      <c r="C227" s="14">
        <f t="shared" ref="C227" si="85">SUM(C228:C236)</f>
        <v>392</v>
      </c>
      <c r="D227" s="14">
        <f t="shared" ref="D227:E227" si="86">SUM(D228:D236)</f>
        <v>245584</v>
      </c>
      <c r="E227" s="14">
        <f t="shared" si="86"/>
        <v>217393</v>
      </c>
      <c r="F227" s="13">
        <f t="shared" si="82"/>
        <v>0.88520831976024494</v>
      </c>
    </row>
    <row r="228" spans="1:6" ht="15" customHeight="1" x14ac:dyDescent="0.25">
      <c r="A228" s="15">
        <v>1</v>
      </c>
      <c r="B228" s="15" t="s">
        <v>147</v>
      </c>
      <c r="C228" s="16">
        <v>52</v>
      </c>
      <c r="D228" s="16">
        <v>27733</v>
      </c>
      <c r="E228" s="16">
        <v>24658</v>
      </c>
      <c r="F228" s="18">
        <f t="shared" si="82"/>
        <v>0.88912126347672449</v>
      </c>
    </row>
    <row r="229" spans="1:6" ht="15" customHeight="1" x14ac:dyDescent="0.25">
      <c r="A229" s="15">
        <v>2</v>
      </c>
      <c r="B229" s="15" t="s">
        <v>148</v>
      </c>
      <c r="C229" s="16">
        <v>42</v>
      </c>
      <c r="D229" s="16">
        <v>27048</v>
      </c>
      <c r="E229" s="16">
        <v>23794</v>
      </c>
      <c r="F229" s="18">
        <f t="shared" si="82"/>
        <v>0.87969535640343088</v>
      </c>
    </row>
    <row r="230" spans="1:6" ht="15" customHeight="1" x14ac:dyDescent="0.25">
      <c r="A230" s="15">
        <v>3</v>
      </c>
      <c r="B230" s="15" t="s">
        <v>149</v>
      </c>
      <c r="C230" s="16">
        <v>35</v>
      </c>
      <c r="D230" s="16">
        <v>23240</v>
      </c>
      <c r="E230" s="16">
        <v>20508</v>
      </c>
      <c r="F230" s="18">
        <f t="shared" si="82"/>
        <v>0.88244406196213421</v>
      </c>
    </row>
    <row r="231" spans="1:6" ht="15" customHeight="1" x14ac:dyDescent="0.25">
      <c r="A231" s="15">
        <v>4</v>
      </c>
      <c r="B231" s="15" t="s">
        <v>53</v>
      </c>
      <c r="C231" s="16">
        <v>45</v>
      </c>
      <c r="D231" s="16">
        <v>25764</v>
      </c>
      <c r="E231" s="16">
        <v>22672</v>
      </c>
      <c r="F231" s="18">
        <f t="shared" si="82"/>
        <v>0.87998757956839002</v>
      </c>
    </row>
    <row r="232" spans="1:6" ht="15" customHeight="1" x14ac:dyDescent="0.25">
      <c r="A232" s="15">
        <v>5</v>
      </c>
      <c r="B232" s="15" t="s">
        <v>150</v>
      </c>
      <c r="C232" s="17">
        <v>22</v>
      </c>
      <c r="D232" s="17">
        <v>13308</v>
      </c>
      <c r="E232" s="17">
        <v>11833</v>
      </c>
      <c r="F232" s="18">
        <f t="shared" si="82"/>
        <v>0.88916441238352872</v>
      </c>
    </row>
    <row r="233" spans="1:6" ht="15" customHeight="1" x14ac:dyDescent="0.25">
      <c r="A233" s="15">
        <v>6</v>
      </c>
      <c r="B233" s="15" t="s">
        <v>47</v>
      </c>
      <c r="C233" s="16">
        <v>48</v>
      </c>
      <c r="D233" s="16">
        <v>27857</v>
      </c>
      <c r="E233" s="16">
        <v>25121</v>
      </c>
      <c r="F233" s="18">
        <f t="shared" si="82"/>
        <v>0.90178411171339345</v>
      </c>
    </row>
    <row r="234" spans="1:6" ht="15" customHeight="1" x14ac:dyDescent="0.25">
      <c r="A234" s="15">
        <v>7</v>
      </c>
      <c r="B234" s="15" t="s">
        <v>151</v>
      </c>
      <c r="C234" s="16">
        <v>15</v>
      </c>
      <c r="D234" s="16">
        <v>9689</v>
      </c>
      <c r="E234" s="16">
        <v>8799</v>
      </c>
      <c r="F234" s="18">
        <f t="shared" si="82"/>
        <v>0.90814325523789863</v>
      </c>
    </row>
    <row r="235" spans="1:6" ht="15" customHeight="1" x14ac:dyDescent="0.25">
      <c r="A235" s="15">
        <v>8</v>
      </c>
      <c r="B235" s="15" t="s">
        <v>152</v>
      </c>
      <c r="C235" s="16">
        <v>23</v>
      </c>
      <c r="D235" s="16">
        <v>13455</v>
      </c>
      <c r="E235" s="16">
        <v>12033</v>
      </c>
      <c r="F235" s="18">
        <f t="shared" si="82"/>
        <v>0.89431438127090301</v>
      </c>
    </row>
    <row r="236" spans="1:6" ht="15" customHeight="1" x14ac:dyDescent="0.25">
      <c r="A236" s="15"/>
      <c r="B236" s="24" t="s">
        <v>1341</v>
      </c>
      <c r="C236" s="16">
        <v>110</v>
      </c>
      <c r="D236" s="16">
        <v>77490</v>
      </c>
      <c r="E236" s="16">
        <v>67975</v>
      </c>
      <c r="F236" s="18">
        <f t="shared" si="82"/>
        <v>0.87720996257581618</v>
      </c>
    </row>
    <row r="237" spans="1:6" ht="23.1" customHeight="1" x14ac:dyDescent="0.25">
      <c r="A237" s="22"/>
      <c r="B237" s="22" t="s">
        <v>7</v>
      </c>
      <c r="C237" s="14">
        <f t="shared" ref="C237" si="87">SUM(C238:C248)</f>
        <v>448</v>
      </c>
      <c r="D237" s="14">
        <f t="shared" ref="D237:E237" si="88">SUM(D238:D248)</f>
        <v>308690</v>
      </c>
      <c r="E237" s="14">
        <f t="shared" si="88"/>
        <v>269680</v>
      </c>
      <c r="F237" s="13">
        <f t="shared" si="82"/>
        <v>0.8736272635977842</v>
      </c>
    </row>
    <row r="238" spans="1:6" ht="15" customHeight="1" x14ac:dyDescent="0.25">
      <c r="A238" s="15">
        <v>1</v>
      </c>
      <c r="B238" s="15" t="s">
        <v>153</v>
      </c>
      <c r="C238" s="16">
        <v>67</v>
      </c>
      <c r="D238" s="16">
        <v>46655</v>
      </c>
      <c r="E238" s="16">
        <v>41670</v>
      </c>
      <c r="F238" s="18">
        <f t="shared" si="82"/>
        <v>0.89315185939341979</v>
      </c>
    </row>
    <row r="239" spans="1:6" ht="15" customHeight="1" x14ac:dyDescent="0.25">
      <c r="A239" s="15">
        <v>2</v>
      </c>
      <c r="B239" s="15" t="s">
        <v>154</v>
      </c>
      <c r="C239" s="16">
        <v>45</v>
      </c>
      <c r="D239" s="16">
        <v>33420</v>
      </c>
      <c r="E239" s="16">
        <v>29324</v>
      </c>
      <c r="F239" s="18">
        <f t="shared" si="82"/>
        <v>0.87743865948533817</v>
      </c>
    </row>
    <row r="240" spans="1:6" ht="15" customHeight="1" x14ac:dyDescent="0.25">
      <c r="A240" s="15">
        <v>3</v>
      </c>
      <c r="B240" s="15" t="s">
        <v>155</v>
      </c>
      <c r="C240" s="16">
        <v>15</v>
      </c>
      <c r="D240" s="16">
        <v>9942</v>
      </c>
      <c r="E240" s="16">
        <v>8889</v>
      </c>
      <c r="F240" s="18">
        <f t="shared" si="82"/>
        <v>0.89408569704284857</v>
      </c>
    </row>
    <row r="241" spans="1:6" ht="15" customHeight="1" x14ac:dyDescent="0.25">
      <c r="A241" s="15">
        <v>4</v>
      </c>
      <c r="B241" s="15" t="s">
        <v>156</v>
      </c>
      <c r="C241" s="16">
        <v>75</v>
      </c>
      <c r="D241" s="16">
        <v>55955</v>
      </c>
      <c r="E241" s="16">
        <v>45671</v>
      </c>
      <c r="F241" s="18">
        <f t="shared" si="82"/>
        <v>0.81620945402555622</v>
      </c>
    </row>
    <row r="242" spans="1:6" ht="15" customHeight="1" x14ac:dyDescent="0.25">
      <c r="A242" s="15">
        <v>5</v>
      </c>
      <c r="B242" s="15" t="s">
        <v>101</v>
      </c>
      <c r="C242" s="16">
        <v>13</v>
      </c>
      <c r="D242" s="16">
        <v>6788</v>
      </c>
      <c r="E242" s="16">
        <v>5990</v>
      </c>
      <c r="F242" s="18">
        <f t="shared" si="82"/>
        <v>0.88243959929286975</v>
      </c>
    </row>
    <row r="243" spans="1:6" ht="15" customHeight="1" x14ac:dyDescent="0.25">
      <c r="A243" s="15">
        <v>6</v>
      </c>
      <c r="B243" s="15" t="s">
        <v>157</v>
      </c>
      <c r="C243" s="16">
        <v>29</v>
      </c>
      <c r="D243" s="16">
        <v>18649</v>
      </c>
      <c r="E243" s="16">
        <v>16883</v>
      </c>
      <c r="F243" s="18">
        <f t="shared" si="82"/>
        <v>0.90530323341734142</v>
      </c>
    </row>
    <row r="244" spans="1:6" ht="15" customHeight="1" x14ac:dyDescent="0.25">
      <c r="A244" s="15">
        <v>7</v>
      </c>
      <c r="B244" s="15" t="s">
        <v>158</v>
      </c>
      <c r="C244" s="16">
        <v>51</v>
      </c>
      <c r="D244" s="16">
        <v>36646</v>
      </c>
      <c r="E244" s="16">
        <v>32323</v>
      </c>
      <c r="F244" s="18">
        <f t="shared" si="82"/>
        <v>0.88203350979643069</v>
      </c>
    </row>
    <row r="245" spans="1:6" ht="15" customHeight="1" x14ac:dyDescent="0.25">
      <c r="A245" s="15">
        <v>8</v>
      </c>
      <c r="B245" s="15" t="s">
        <v>159</v>
      </c>
      <c r="C245" s="16">
        <v>22</v>
      </c>
      <c r="D245" s="16">
        <v>14805</v>
      </c>
      <c r="E245" s="16">
        <v>13383</v>
      </c>
      <c r="F245" s="18">
        <f t="shared" si="82"/>
        <v>0.90395136778115504</v>
      </c>
    </row>
    <row r="246" spans="1:6" ht="15" customHeight="1" x14ac:dyDescent="0.25">
      <c r="A246" s="15">
        <v>9</v>
      </c>
      <c r="B246" s="15" t="s">
        <v>160</v>
      </c>
      <c r="C246" s="16">
        <v>56</v>
      </c>
      <c r="D246" s="16">
        <v>38187</v>
      </c>
      <c r="E246" s="16">
        <v>33450</v>
      </c>
      <c r="F246" s="18">
        <f t="shared" ref="F246:F277" si="89">SUM(E246/D246)</f>
        <v>0.87595254929688116</v>
      </c>
    </row>
    <row r="247" spans="1:6" ht="15" customHeight="1" x14ac:dyDescent="0.25">
      <c r="A247" s="15">
        <v>10</v>
      </c>
      <c r="B247" s="15" t="s">
        <v>161</v>
      </c>
      <c r="C247" s="16">
        <v>42</v>
      </c>
      <c r="D247" s="16">
        <v>27186</v>
      </c>
      <c r="E247" s="16">
        <v>23999</v>
      </c>
      <c r="F247" s="18">
        <f t="shared" si="89"/>
        <v>0.88277054366217911</v>
      </c>
    </row>
    <row r="248" spans="1:6" ht="15" customHeight="1" x14ac:dyDescent="0.25">
      <c r="A248" s="15">
        <v>11</v>
      </c>
      <c r="B248" s="15" t="s">
        <v>162</v>
      </c>
      <c r="C248" s="16">
        <v>33</v>
      </c>
      <c r="D248" s="16">
        <v>20457</v>
      </c>
      <c r="E248" s="16">
        <v>18098</v>
      </c>
      <c r="F248" s="18">
        <f t="shared" si="89"/>
        <v>0.88468494891724103</v>
      </c>
    </row>
    <row r="249" spans="1:6" ht="23.1" customHeight="1" x14ac:dyDescent="0.25">
      <c r="A249" s="22"/>
      <c r="B249" s="22" t="s">
        <v>163</v>
      </c>
      <c r="C249" s="14">
        <f t="shared" ref="C249" si="90">SUM(C250+C261+C270+C277+C283+C293)</f>
        <v>2869</v>
      </c>
      <c r="D249" s="14">
        <f t="shared" ref="D249:E249" si="91">SUM(D250+D261+D270+D277+D283+D293)</f>
        <v>2156306</v>
      </c>
      <c r="E249" s="14">
        <f t="shared" si="91"/>
        <v>1870725</v>
      </c>
      <c r="F249" s="13">
        <f t="shared" si="89"/>
        <v>0.86756007728031181</v>
      </c>
    </row>
    <row r="250" spans="1:6" ht="23.1" customHeight="1" x14ac:dyDescent="0.25">
      <c r="A250" s="22"/>
      <c r="B250" s="22" t="s">
        <v>6</v>
      </c>
      <c r="C250" s="14">
        <f t="shared" ref="C250" si="92">SUM(C251:C260)</f>
        <v>417</v>
      </c>
      <c r="D250" s="14">
        <f t="shared" ref="D250:E250" si="93">SUM(D251:D260)</f>
        <v>303690</v>
      </c>
      <c r="E250" s="14">
        <f t="shared" si="93"/>
        <v>257403</v>
      </c>
      <c r="F250" s="13">
        <f t="shared" si="89"/>
        <v>0.84758470809048703</v>
      </c>
    </row>
    <row r="251" spans="1:6" ht="15" customHeight="1" x14ac:dyDescent="0.25">
      <c r="A251" s="15">
        <v>1</v>
      </c>
      <c r="B251" s="15" t="s">
        <v>164</v>
      </c>
      <c r="C251" s="16">
        <v>30</v>
      </c>
      <c r="D251" s="16">
        <v>21085</v>
      </c>
      <c r="E251" s="16">
        <v>18797</v>
      </c>
      <c r="F251" s="18">
        <f t="shared" si="89"/>
        <v>0.89148683898506043</v>
      </c>
    </row>
    <row r="252" spans="1:6" ht="15" customHeight="1" x14ac:dyDescent="0.25">
      <c r="A252" s="15">
        <v>2</v>
      </c>
      <c r="B252" s="15" t="s">
        <v>165</v>
      </c>
      <c r="C252" s="16">
        <v>40</v>
      </c>
      <c r="D252" s="16">
        <v>26786</v>
      </c>
      <c r="E252" s="16">
        <v>21699</v>
      </c>
      <c r="F252" s="18">
        <f t="shared" si="89"/>
        <v>0.81008735906816998</v>
      </c>
    </row>
    <row r="253" spans="1:6" ht="15" customHeight="1" x14ac:dyDescent="0.25">
      <c r="A253" s="15">
        <v>3</v>
      </c>
      <c r="B253" s="15" t="s">
        <v>166</v>
      </c>
      <c r="C253" s="16">
        <v>46</v>
      </c>
      <c r="D253" s="16">
        <v>32440</v>
      </c>
      <c r="E253" s="16">
        <v>27277</v>
      </c>
      <c r="F253" s="18">
        <f t="shared" si="89"/>
        <v>0.84084463625154127</v>
      </c>
    </row>
    <row r="254" spans="1:6" ht="15" customHeight="1" x14ac:dyDescent="0.25">
      <c r="A254" s="15">
        <v>4</v>
      </c>
      <c r="B254" s="15" t="s">
        <v>167</v>
      </c>
      <c r="C254" s="16">
        <v>65</v>
      </c>
      <c r="D254" s="16">
        <v>50623</v>
      </c>
      <c r="E254" s="16">
        <v>41865</v>
      </c>
      <c r="F254" s="18">
        <f t="shared" si="89"/>
        <v>0.82699563439543289</v>
      </c>
    </row>
    <row r="255" spans="1:6" ht="15" customHeight="1" x14ac:dyDescent="0.25">
      <c r="A255" s="15">
        <v>5</v>
      </c>
      <c r="B255" s="15" t="s">
        <v>101</v>
      </c>
      <c r="C255" s="16">
        <v>24</v>
      </c>
      <c r="D255" s="16">
        <v>15319</v>
      </c>
      <c r="E255" s="16">
        <v>12565</v>
      </c>
      <c r="F255" s="18">
        <f t="shared" si="89"/>
        <v>0.82022325217050718</v>
      </c>
    </row>
    <row r="256" spans="1:6" ht="15" customHeight="1" x14ac:dyDescent="0.25">
      <c r="A256" s="15">
        <v>6</v>
      </c>
      <c r="B256" s="15" t="s">
        <v>168</v>
      </c>
      <c r="C256" s="16">
        <v>34</v>
      </c>
      <c r="D256" s="16">
        <v>23745</v>
      </c>
      <c r="E256" s="16">
        <v>21069</v>
      </c>
      <c r="F256" s="18">
        <f t="shared" si="89"/>
        <v>0.8873025900189514</v>
      </c>
    </row>
    <row r="257" spans="1:6" ht="15" customHeight="1" x14ac:dyDescent="0.25">
      <c r="A257" s="15">
        <v>7</v>
      </c>
      <c r="B257" s="15" t="s">
        <v>169</v>
      </c>
      <c r="C257" s="16">
        <v>25</v>
      </c>
      <c r="D257" s="16">
        <v>18476</v>
      </c>
      <c r="E257" s="16">
        <v>16075</v>
      </c>
      <c r="F257" s="18">
        <f t="shared" si="89"/>
        <v>0.87004762935700364</v>
      </c>
    </row>
    <row r="258" spans="1:6" ht="15" customHeight="1" x14ac:dyDescent="0.25">
      <c r="A258" s="15">
        <v>8</v>
      </c>
      <c r="B258" s="15" t="s">
        <v>170</v>
      </c>
      <c r="C258" s="16">
        <v>27</v>
      </c>
      <c r="D258" s="16">
        <v>18157</v>
      </c>
      <c r="E258" s="16">
        <v>16053</v>
      </c>
      <c r="F258" s="18">
        <f t="shared" si="89"/>
        <v>0.88412182629288982</v>
      </c>
    </row>
    <row r="259" spans="1:6" ht="15" customHeight="1" x14ac:dyDescent="0.25">
      <c r="A259" s="15">
        <v>9</v>
      </c>
      <c r="B259" s="15" t="s">
        <v>171</v>
      </c>
      <c r="C259" s="16">
        <v>42</v>
      </c>
      <c r="D259" s="16">
        <v>34338</v>
      </c>
      <c r="E259" s="16">
        <v>30624</v>
      </c>
      <c r="F259" s="18">
        <f t="shared" si="89"/>
        <v>0.89183994408527001</v>
      </c>
    </row>
    <row r="260" spans="1:6" ht="15" customHeight="1" x14ac:dyDescent="0.25">
      <c r="A260" s="15"/>
      <c r="B260" s="24" t="s">
        <v>1342</v>
      </c>
      <c r="C260" s="16">
        <v>84</v>
      </c>
      <c r="D260" s="16">
        <v>62721</v>
      </c>
      <c r="E260" s="16">
        <v>51379</v>
      </c>
      <c r="F260" s="18">
        <f t="shared" si="89"/>
        <v>0.81916742398877573</v>
      </c>
    </row>
    <row r="261" spans="1:6" ht="23.1" customHeight="1" x14ac:dyDescent="0.25">
      <c r="A261" s="22"/>
      <c r="B261" s="22" t="s">
        <v>7</v>
      </c>
      <c r="C261" s="14">
        <f t="shared" ref="C261" si="94">SUM(C262:C269)</f>
        <v>488</v>
      </c>
      <c r="D261" s="14">
        <f t="shared" ref="D261:E261" si="95">SUM(D262:D269)</f>
        <v>365279</v>
      </c>
      <c r="E261" s="14">
        <f t="shared" si="95"/>
        <v>319974</v>
      </c>
      <c r="F261" s="13">
        <f t="shared" si="89"/>
        <v>0.875971517661842</v>
      </c>
    </row>
    <row r="262" spans="1:6" ht="15" customHeight="1" x14ac:dyDescent="0.25">
      <c r="A262" s="15">
        <v>1</v>
      </c>
      <c r="B262" s="15" t="s">
        <v>172</v>
      </c>
      <c r="C262" s="16">
        <v>40</v>
      </c>
      <c r="D262" s="16">
        <v>31030</v>
      </c>
      <c r="E262" s="16">
        <v>27370</v>
      </c>
      <c r="F262" s="18">
        <f t="shared" si="89"/>
        <v>0.88204962939091203</v>
      </c>
    </row>
    <row r="263" spans="1:6" ht="15" customHeight="1" x14ac:dyDescent="0.25">
      <c r="A263" s="15">
        <v>2</v>
      </c>
      <c r="B263" s="15" t="s">
        <v>173</v>
      </c>
      <c r="C263" s="16">
        <v>33</v>
      </c>
      <c r="D263" s="16">
        <v>26433</v>
      </c>
      <c r="E263" s="16">
        <v>23123</v>
      </c>
      <c r="F263" s="18">
        <f t="shared" si="89"/>
        <v>0.87477773994627928</v>
      </c>
    </row>
    <row r="264" spans="1:6" ht="15" customHeight="1" x14ac:dyDescent="0.25">
      <c r="A264" s="15">
        <v>3</v>
      </c>
      <c r="B264" s="15" t="s">
        <v>174</v>
      </c>
      <c r="C264" s="16">
        <v>78</v>
      </c>
      <c r="D264" s="16">
        <v>62485</v>
      </c>
      <c r="E264" s="16">
        <v>54258</v>
      </c>
      <c r="F264" s="18">
        <f t="shared" si="89"/>
        <v>0.86833640073617668</v>
      </c>
    </row>
    <row r="265" spans="1:6" ht="15" customHeight="1" x14ac:dyDescent="0.25">
      <c r="A265" s="15">
        <v>4</v>
      </c>
      <c r="B265" s="15" t="s">
        <v>175</v>
      </c>
      <c r="C265" s="16">
        <v>69</v>
      </c>
      <c r="D265" s="16">
        <v>52836</v>
      </c>
      <c r="E265" s="16">
        <v>48117</v>
      </c>
      <c r="F265" s="18">
        <f t="shared" si="89"/>
        <v>0.91068589598001359</v>
      </c>
    </row>
    <row r="266" spans="1:6" ht="15" customHeight="1" x14ac:dyDescent="0.25">
      <c r="A266" s="15">
        <v>5</v>
      </c>
      <c r="B266" s="15" t="s">
        <v>176</v>
      </c>
      <c r="C266" s="16">
        <v>27</v>
      </c>
      <c r="D266" s="16">
        <v>19925</v>
      </c>
      <c r="E266" s="16">
        <v>18099</v>
      </c>
      <c r="F266" s="18">
        <f t="shared" si="89"/>
        <v>0.90835633626097867</v>
      </c>
    </row>
    <row r="267" spans="1:6" ht="15" customHeight="1" x14ac:dyDescent="0.25">
      <c r="A267" s="15">
        <v>6</v>
      </c>
      <c r="B267" s="15" t="s">
        <v>1353</v>
      </c>
      <c r="C267" s="16">
        <v>95</v>
      </c>
      <c r="D267" s="16">
        <v>74486</v>
      </c>
      <c r="E267" s="16">
        <v>63627</v>
      </c>
      <c r="F267" s="18">
        <f t="shared" si="89"/>
        <v>0.8542142147517654</v>
      </c>
    </row>
    <row r="268" spans="1:6" ht="15" customHeight="1" x14ac:dyDescent="0.25">
      <c r="A268" s="15">
        <v>7</v>
      </c>
      <c r="B268" s="15" t="s">
        <v>177</v>
      </c>
      <c r="C268" s="16">
        <v>93</v>
      </c>
      <c r="D268" s="16">
        <v>56016</v>
      </c>
      <c r="E268" s="16">
        <v>47976</v>
      </c>
      <c r="F268" s="18">
        <f t="shared" si="89"/>
        <v>0.85646958011996577</v>
      </c>
    </row>
    <row r="269" spans="1:6" ht="15" customHeight="1" x14ac:dyDescent="0.25">
      <c r="A269" s="15">
        <v>8</v>
      </c>
      <c r="B269" s="15" t="s">
        <v>178</v>
      </c>
      <c r="C269" s="16">
        <v>53</v>
      </c>
      <c r="D269" s="16">
        <v>42068</v>
      </c>
      <c r="E269" s="16">
        <v>37404</v>
      </c>
      <c r="F269" s="18">
        <f t="shared" si="89"/>
        <v>0.8891318817153181</v>
      </c>
    </row>
    <row r="270" spans="1:6" ht="23.1" customHeight="1" x14ac:dyDescent="0.25">
      <c r="A270" s="22"/>
      <c r="B270" s="22" t="s">
        <v>8</v>
      </c>
      <c r="C270" s="14">
        <f t="shared" ref="C270" si="96">SUM(C271:C276)</f>
        <v>619</v>
      </c>
      <c r="D270" s="14">
        <f t="shared" ref="D270:E270" si="97">SUM(D271:D276)</f>
        <v>454801</v>
      </c>
      <c r="E270" s="14">
        <f t="shared" si="97"/>
        <v>388143</v>
      </c>
      <c r="F270" s="13">
        <f t="shared" si="89"/>
        <v>0.85343479895602692</v>
      </c>
    </row>
    <row r="271" spans="1:6" ht="15" customHeight="1" x14ac:dyDescent="0.25">
      <c r="A271" s="15">
        <v>1</v>
      </c>
      <c r="B271" s="15" t="s">
        <v>179</v>
      </c>
      <c r="C271" s="16">
        <v>122</v>
      </c>
      <c r="D271" s="16">
        <v>85383</v>
      </c>
      <c r="E271" s="16">
        <v>68298</v>
      </c>
      <c r="F271" s="18">
        <f t="shared" si="89"/>
        <v>0.79990161976037388</v>
      </c>
    </row>
    <row r="272" spans="1:6" ht="15" customHeight="1" x14ac:dyDescent="0.25">
      <c r="A272" s="15">
        <v>2</v>
      </c>
      <c r="B272" s="15" t="s">
        <v>180</v>
      </c>
      <c r="C272" s="16">
        <v>88</v>
      </c>
      <c r="D272" s="16">
        <v>68134</v>
      </c>
      <c r="E272" s="16">
        <v>57659</v>
      </c>
      <c r="F272" s="18">
        <f t="shared" si="89"/>
        <v>0.84625884286846509</v>
      </c>
    </row>
    <row r="273" spans="1:6" ht="15" customHeight="1" x14ac:dyDescent="0.25">
      <c r="A273" s="15">
        <v>3</v>
      </c>
      <c r="B273" s="15" t="s">
        <v>181</v>
      </c>
      <c r="C273" s="16">
        <v>124</v>
      </c>
      <c r="D273" s="16">
        <v>89906</v>
      </c>
      <c r="E273" s="16">
        <v>76804</v>
      </c>
      <c r="F273" s="18">
        <f t="shared" si="89"/>
        <v>0.85427001534936486</v>
      </c>
    </row>
    <row r="274" spans="1:6" ht="15" customHeight="1" x14ac:dyDescent="0.25">
      <c r="A274" s="15">
        <v>4</v>
      </c>
      <c r="B274" s="15" t="s">
        <v>182</v>
      </c>
      <c r="C274" s="16">
        <v>38</v>
      </c>
      <c r="D274" s="16">
        <v>27556</v>
      </c>
      <c r="E274" s="16">
        <v>24219</v>
      </c>
      <c r="F274" s="18">
        <f t="shared" si="89"/>
        <v>0.87890114675569753</v>
      </c>
    </row>
    <row r="275" spans="1:6" ht="15" customHeight="1" x14ac:dyDescent="0.25">
      <c r="A275" s="15">
        <v>5</v>
      </c>
      <c r="B275" s="15" t="s">
        <v>183</v>
      </c>
      <c r="C275" s="16">
        <v>73</v>
      </c>
      <c r="D275" s="16">
        <v>57629</v>
      </c>
      <c r="E275" s="16">
        <v>52262</v>
      </c>
      <c r="F275" s="18">
        <f t="shared" si="89"/>
        <v>0.90686980513283244</v>
      </c>
    </row>
    <row r="276" spans="1:6" ht="15" customHeight="1" x14ac:dyDescent="0.25">
      <c r="A276" s="15"/>
      <c r="B276" s="24" t="s">
        <v>1354</v>
      </c>
      <c r="C276" s="16">
        <v>174</v>
      </c>
      <c r="D276" s="16">
        <v>126193</v>
      </c>
      <c r="E276" s="16">
        <v>108901</v>
      </c>
      <c r="F276" s="18">
        <f t="shared" si="89"/>
        <v>0.86297179716783023</v>
      </c>
    </row>
    <row r="277" spans="1:6" ht="23.1" customHeight="1" x14ac:dyDescent="0.25">
      <c r="A277" s="22"/>
      <c r="B277" s="22" t="s">
        <v>9</v>
      </c>
      <c r="C277" s="14">
        <f t="shared" ref="C277" si="98">SUM(C278:C282)</f>
        <v>423</v>
      </c>
      <c r="D277" s="14">
        <f t="shared" ref="D277:E277" si="99">SUM(D278:D282)</f>
        <v>350022</v>
      </c>
      <c r="E277" s="14">
        <f t="shared" si="99"/>
        <v>302114</v>
      </c>
      <c r="F277" s="13">
        <f t="shared" si="89"/>
        <v>0.86312860334493258</v>
      </c>
    </row>
    <row r="278" spans="1:6" ht="15" customHeight="1" x14ac:dyDescent="0.25">
      <c r="A278" s="15">
        <v>1</v>
      </c>
      <c r="B278" s="15" t="s">
        <v>184</v>
      </c>
      <c r="C278" s="16">
        <v>65</v>
      </c>
      <c r="D278" s="16">
        <v>49728</v>
      </c>
      <c r="E278" s="16">
        <v>42150</v>
      </c>
      <c r="F278" s="18">
        <f t="shared" ref="F278:F307" si="100">SUM(E278/D278)</f>
        <v>0.84761100386100385</v>
      </c>
    </row>
    <row r="279" spans="1:6" ht="15" customHeight="1" x14ac:dyDescent="0.25">
      <c r="A279" s="15">
        <v>2</v>
      </c>
      <c r="B279" s="15" t="s">
        <v>185</v>
      </c>
      <c r="C279" s="16">
        <v>84</v>
      </c>
      <c r="D279" s="16">
        <v>69571</v>
      </c>
      <c r="E279" s="16">
        <v>61183</v>
      </c>
      <c r="F279" s="18">
        <f t="shared" si="100"/>
        <v>0.87943252217159451</v>
      </c>
    </row>
    <row r="280" spans="1:6" ht="15" customHeight="1" x14ac:dyDescent="0.25">
      <c r="A280" s="15">
        <v>3</v>
      </c>
      <c r="B280" s="15" t="s">
        <v>186</v>
      </c>
      <c r="C280" s="16">
        <v>73</v>
      </c>
      <c r="D280" s="16">
        <v>56888</v>
      </c>
      <c r="E280" s="16">
        <v>47020</v>
      </c>
      <c r="F280" s="18">
        <f t="shared" si="100"/>
        <v>0.82653635213050203</v>
      </c>
    </row>
    <row r="281" spans="1:6" ht="15" customHeight="1" x14ac:dyDescent="0.25">
      <c r="A281" s="15">
        <v>4</v>
      </c>
      <c r="B281" s="15" t="s">
        <v>187</v>
      </c>
      <c r="C281" s="16">
        <v>38</v>
      </c>
      <c r="D281" s="16">
        <v>29354</v>
      </c>
      <c r="E281" s="16">
        <v>25319</v>
      </c>
      <c r="F281" s="18">
        <f t="shared" si="100"/>
        <v>0.86254002861620227</v>
      </c>
    </row>
    <row r="282" spans="1:6" ht="15" customHeight="1" x14ac:dyDescent="0.25">
      <c r="A282" s="15"/>
      <c r="B282" s="24" t="s">
        <v>1343</v>
      </c>
      <c r="C282" s="16">
        <v>163</v>
      </c>
      <c r="D282" s="16">
        <v>144481</v>
      </c>
      <c r="E282" s="16">
        <v>126442</v>
      </c>
      <c r="F282" s="18">
        <f t="shared" si="100"/>
        <v>0.87514621299686468</v>
      </c>
    </row>
    <row r="283" spans="1:6" ht="23.1" customHeight="1" x14ac:dyDescent="0.25">
      <c r="A283" s="22"/>
      <c r="B283" s="22" t="s">
        <v>10</v>
      </c>
      <c r="C283" s="14">
        <f t="shared" ref="C283" si="101">SUM(C284:C292)</f>
        <v>474</v>
      </c>
      <c r="D283" s="14">
        <f t="shared" ref="D283:E283" si="102">SUM(D284:D292)</f>
        <v>357155</v>
      </c>
      <c r="E283" s="14">
        <f t="shared" si="102"/>
        <v>312206</v>
      </c>
      <c r="F283" s="13">
        <f t="shared" si="100"/>
        <v>0.87414707899931399</v>
      </c>
    </row>
    <row r="284" spans="1:6" ht="15" customHeight="1" x14ac:dyDescent="0.25">
      <c r="A284" s="15">
        <v>1</v>
      </c>
      <c r="B284" s="15" t="s">
        <v>188</v>
      </c>
      <c r="C284" s="16">
        <v>43</v>
      </c>
      <c r="D284" s="16">
        <v>31431</v>
      </c>
      <c r="E284" s="16">
        <v>26916</v>
      </c>
      <c r="F284" s="18">
        <f t="shared" si="100"/>
        <v>0.85635200916292831</v>
      </c>
    </row>
    <row r="285" spans="1:6" ht="15" customHeight="1" x14ac:dyDescent="0.25">
      <c r="A285" s="15">
        <v>2</v>
      </c>
      <c r="B285" s="15" t="s">
        <v>189</v>
      </c>
      <c r="C285" s="16">
        <v>33</v>
      </c>
      <c r="D285" s="16">
        <v>22909</v>
      </c>
      <c r="E285" s="16">
        <v>19960</v>
      </c>
      <c r="F285" s="18">
        <f t="shared" si="100"/>
        <v>0.87127329870356629</v>
      </c>
    </row>
    <row r="286" spans="1:6" ht="15" customHeight="1" x14ac:dyDescent="0.25">
      <c r="A286" s="15">
        <v>3</v>
      </c>
      <c r="B286" s="15" t="s">
        <v>190</v>
      </c>
      <c r="C286" s="16">
        <v>61</v>
      </c>
      <c r="D286" s="16">
        <v>38564</v>
      </c>
      <c r="E286" s="16">
        <v>33029</v>
      </c>
      <c r="F286" s="18">
        <f t="shared" si="100"/>
        <v>0.856472357639249</v>
      </c>
    </row>
    <row r="287" spans="1:6" ht="15" customHeight="1" x14ac:dyDescent="0.25">
      <c r="A287" s="15">
        <v>4</v>
      </c>
      <c r="B287" s="15" t="s">
        <v>191</v>
      </c>
      <c r="C287" s="16">
        <v>33</v>
      </c>
      <c r="D287" s="16">
        <v>22825</v>
      </c>
      <c r="E287" s="16">
        <v>20212</v>
      </c>
      <c r="F287" s="18">
        <f t="shared" si="100"/>
        <v>0.88552026286966046</v>
      </c>
    </row>
    <row r="288" spans="1:6" ht="15" customHeight="1" x14ac:dyDescent="0.25">
      <c r="A288" s="15">
        <v>5</v>
      </c>
      <c r="B288" s="15" t="s">
        <v>192</v>
      </c>
      <c r="C288" s="16">
        <v>67</v>
      </c>
      <c r="D288" s="16">
        <v>50986</v>
      </c>
      <c r="E288" s="16">
        <v>43355</v>
      </c>
      <c r="F288" s="18">
        <f t="shared" si="100"/>
        <v>0.85033146353901068</v>
      </c>
    </row>
    <row r="289" spans="1:6" ht="15" customHeight="1" x14ac:dyDescent="0.25">
      <c r="A289" s="15">
        <v>6</v>
      </c>
      <c r="B289" s="15" t="s">
        <v>161</v>
      </c>
      <c r="C289" s="16">
        <v>13</v>
      </c>
      <c r="D289" s="16">
        <v>9945</v>
      </c>
      <c r="E289" s="16">
        <v>8778</v>
      </c>
      <c r="F289" s="18">
        <f t="shared" si="100"/>
        <v>0.8826546003016591</v>
      </c>
    </row>
    <row r="290" spans="1:6" ht="15" customHeight="1" x14ac:dyDescent="0.25">
      <c r="A290" s="15">
        <v>7</v>
      </c>
      <c r="B290" s="15" t="s">
        <v>193</v>
      </c>
      <c r="C290" s="16">
        <v>47</v>
      </c>
      <c r="D290" s="16">
        <v>33363</v>
      </c>
      <c r="E290" s="16">
        <v>29105</v>
      </c>
      <c r="F290" s="18">
        <f t="shared" si="100"/>
        <v>0.87237358750711869</v>
      </c>
    </row>
    <row r="291" spans="1:6" ht="15" customHeight="1" x14ac:dyDescent="0.25">
      <c r="A291" s="15">
        <v>8</v>
      </c>
      <c r="B291" s="15" t="s">
        <v>194</v>
      </c>
      <c r="C291" s="16">
        <v>53</v>
      </c>
      <c r="D291" s="16">
        <v>44707</v>
      </c>
      <c r="E291" s="16">
        <v>39857</v>
      </c>
      <c r="F291" s="18">
        <f t="shared" si="100"/>
        <v>0.89151586999798693</v>
      </c>
    </row>
    <row r="292" spans="1:6" ht="15" customHeight="1" x14ac:dyDescent="0.25">
      <c r="A292" s="15"/>
      <c r="B292" s="24" t="s">
        <v>195</v>
      </c>
      <c r="C292" s="16">
        <v>124</v>
      </c>
      <c r="D292" s="16">
        <v>102425</v>
      </c>
      <c r="E292" s="16">
        <v>90994</v>
      </c>
      <c r="F292" s="18">
        <f t="shared" si="100"/>
        <v>0.8883963876006834</v>
      </c>
    </row>
    <row r="293" spans="1:6" ht="23.1" customHeight="1" x14ac:dyDescent="0.25">
      <c r="A293" s="22"/>
      <c r="B293" s="22" t="s">
        <v>11</v>
      </c>
      <c r="C293" s="14">
        <f t="shared" ref="C293" si="103">SUM(C294:C303)</f>
        <v>448</v>
      </c>
      <c r="D293" s="14">
        <f t="shared" ref="D293:E293" si="104">SUM(D294:D303)</f>
        <v>325359</v>
      </c>
      <c r="E293" s="14">
        <f t="shared" si="104"/>
        <v>290885</v>
      </c>
      <c r="F293" s="13">
        <f t="shared" si="100"/>
        <v>0.89404319536266097</v>
      </c>
    </row>
    <row r="294" spans="1:6" ht="15" customHeight="1" x14ac:dyDescent="0.25">
      <c r="A294" s="15">
        <v>1</v>
      </c>
      <c r="B294" s="15" t="s">
        <v>196</v>
      </c>
      <c r="C294" s="16">
        <v>51</v>
      </c>
      <c r="D294" s="16">
        <v>40713</v>
      </c>
      <c r="E294" s="16">
        <v>36153</v>
      </c>
      <c r="F294" s="18">
        <f t="shared" si="100"/>
        <v>0.8879964630462015</v>
      </c>
    </row>
    <row r="295" spans="1:6" ht="15" customHeight="1" x14ac:dyDescent="0.25">
      <c r="A295" s="15">
        <v>2</v>
      </c>
      <c r="B295" s="15" t="s">
        <v>197</v>
      </c>
      <c r="C295" s="16">
        <v>30</v>
      </c>
      <c r="D295" s="16">
        <v>21533</v>
      </c>
      <c r="E295" s="16">
        <v>19299</v>
      </c>
      <c r="F295" s="18">
        <f t="shared" si="100"/>
        <v>0.89625226396693447</v>
      </c>
    </row>
    <row r="296" spans="1:6" ht="15" customHeight="1" x14ac:dyDescent="0.25">
      <c r="A296" s="15">
        <v>3</v>
      </c>
      <c r="B296" s="15" t="s">
        <v>198</v>
      </c>
      <c r="C296" s="16">
        <v>28</v>
      </c>
      <c r="D296" s="16">
        <v>18419</v>
      </c>
      <c r="E296" s="16">
        <v>16575</v>
      </c>
      <c r="F296" s="18">
        <f t="shared" si="100"/>
        <v>0.89988598729572722</v>
      </c>
    </row>
    <row r="297" spans="1:6" ht="15" customHeight="1" x14ac:dyDescent="0.25">
      <c r="A297" s="15">
        <v>4</v>
      </c>
      <c r="B297" s="15" t="s">
        <v>1275</v>
      </c>
      <c r="C297" s="16">
        <v>66</v>
      </c>
      <c r="D297" s="16">
        <v>47656</v>
      </c>
      <c r="E297" s="16">
        <v>42823</v>
      </c>
      <c r="F297" s="18">
        <f t="shared" si="100"/>
        <v>0.89858569749874095</v>
      </c>
    </row>
    <row r="298" spans="1:6" ht="15" customHeight="1" x14ac:dyDescent="0.25">
      <c r="A298" s="15">
        <v>5</v>
      </c>
      <c r="B298" s="15" t="s">
        <v>199</v>
      </c>
      <c r="C298" s="16">
        <v>40</v>
      </c>
      <c r="D298" s="16">
        <v>31895</v>
      </c>
      <c r="E298" s="16">
        <v>28828</v>
      </c>
      <c r="F298" s="18">
        <f t="shared" si="100"/>
        <v>0.90384072738673771</v>
      </c>
    </row>
    <row r="299" spans="1:6" ht="15" customHeight="1" x14ac:dyDescent="0.25">
      <c r="A299" s="15">
        <v>6</v>
      </c>
      <c r="B299" s="15" t="s">
        <v>116</v>
      </c>
      <c r="C299" s="16">
        <v>41</v>
      </c>
      <c r="D299" s="16">
        <v>27371</v>
      </c>
      <c r="E299" s="16">
        <v>24657</v>
      </c>
      <c r="F299" s="18">
        <f t="shared" si="100"/>
        <v>0.90084395893463887</v>
      </c>
    </row>
    <row r="300" spans="1:6" ht="15" customHeight="1" x14ac:dyDescent="0.25">
      <c r="A300" s="15">
        <v>7</v>
      </c>
      <c r="B300" s="15" t="s">
        <v>36</v>
      </c>
      <c r="C300" s="16">
        <v>36</v>
      </c>
      <c r="D300" s="16">
        <v>25350</v>
      </c>
      <c r="E300" s="16">
        <v>22850</v>
      </c>
      <c r="F300" s="18">
        <f t="shared" si="100"/>
        <v>0.90138067061143989</v>
      </c>
    </row>
    <row r="301" spans="1:6" ht="15" customHeight="1" x14ac:dyDescent="0.25">
      <c r="A301" s="15">
        <v>8</v>
      </c>
      <c r="B301" s="15" t="s">
        <v>140</v>
      </c>
      <c r="C301" s="16">
        <v>34</v>
      </c>
      <c r="D301" s="16">
        <v>24026</v>
      </c>
      <c r="E301" s="16">
        <v>21439</v>
      </c>
      <c r="F301" s="18">
        <f t="shared" si="100"/>
        <v>0.89232498127029047</v>
      </c>
    </row>
    <row r="302" spans="1:6" ht="15" customHeight="1" x14ac:dyDescent="0.25">
      <c r="A302" s="15">
        <v>9</v>
      </c>
      <c r="B302" s="15" t="s">
        <v>200</v>
      </c>
      <c r="C302" s="16">
        <v>43</v>
      </c>
      <c r="D302" s="16">
        <v>31945</v>
      </c>
      <c r="E302" s="16">
        <v>28756</v>
      </c>
      <c r="F302" s="18">
        <f t="shared" si="100"/>
        <v>0.90017217091876667</v>
      </c>
    </row>
    <row r="303" spans="1:6" ht="15" customHeight="1" x14ac:dyDescent="0.25">
      <c r="A303" s="15">
        <v>10</v>
      </c>
      <c r="B303" s="15" t="s">
        <v>201</v>
      </c>
      <c r="C303" s="16">
        <v>79</v>
      </c>
      <c r="D303" s="16">
        <v>56451</v>
      </c>
      <c r="E303" s="16">
        <v>49505</v>
      </c>
      <c r="F303" s="18">
        <f t="shared" si="100"/>
        <v>0.87695523551398558</v>
      </c>
    </row>
    <row r="304" spans="1:6" ht="23.1" customHeight="1" x14ac:dyDescent="0.25">
      <c r="A304" s="140" t="s">
        <v>202</v>
      </c>
      <c r="B304" s="140"/>
      <c r="C304" s="14">
        <f>SUM(C305+C315+C348+C392+C411)</f>
        <v>3559</v>
      </c>
      <c r="D304" s="14">
        <f>SUM(D305+D315+D348+D392+D411)</f>
        <v>2358587</v>
      </c>
      <c r="E304" s="14">
        <f>SUM(E305+E315+E348+E392+E411)</f>
        <v>2000940</v>
      </c>
      <c r="F304" s="13">
        <f t="shared" si="100"/>
        <v>0.84836387209799768</v>
      </c>
    </row>
    <row r="305" spans="1:6" ht="23.1" customHeight="1" x14ac:dyDescent="0.25">
      <c r="A305" s="22"/>
      <c r="B305" s="22" t="s">
        <v>203</v>
      </c>
      <c r="C305" s="14">
        <f t="shared" ref="C305" si="105">SUM(C307+C310)</f>
        <v>33</v>
      </c>
      <c r="D305" s="14">
        <f t="shared" ref="D305:E305" si="106">SUM(D307+D310)</f>
        <v>13655</v>
      </c>
      <c r="E305" s="14">
        <f t="shared" si="106"/>
        <v>11488</v>
      </c>
      <c r="F305" s="13">
        <f t="shared" si="100"/>
        <v>0.84130355181252292</v>
      </c>
    </row>
    <row r="306" spans="1:6" ht="23.1" customHeight="1" x14ac:dyDescent="0.25">
      <c r="A306" s="25"/>
      <c r="B306" s="22" t="s">
        <v>22</v>
      </c>
      <c r="C306" s="14"/>
      <c r="D306" s="14"/>
      <c r="E306" s="14"/>
      <c r="F306" s="18"/>
    </row>
    <row r="307" spans="1:6" ht="23.1" customHeight="1" x14ac:dyDescent="0.25">
      <c r="A307" s="25"/>
      <c r="B307" s="22" t="s">
        <v>23</v>
      </c>
      <c r="C307" s="14">
        <f t="shared" ref="C307" si="107">SUM(C308:C309)</f>
        <v>14</v>
      </c>
      <c r="D307" s="14">
        <f t="shared" ref="D307:E307" si="108">SUM(D308:D309)</f>
        <v>7685</v>
      </c>
      <c r="E307" s="14">
        <f t="shared" si="108"/>
        <v>6433</v>
      </c>
      <c r="F307" s="13">
        <f t="shared" si="100"/>
        <v>0.837085230969421</v>
      </c>
    </row>
    <row r="308" spans="1:6" ht="15" customHeight="1" x14ac:dyDescent="0.25">
      <c r="A308" s="15">
        <v>1</v>
      </c>
      <c r="B308" s="15" t="s">
        <v>1355</v>
      </c>
      <c r="C308" s="16">
        <v>10</v>
      </c>
      <c r="D308" s="16">
        <v>6170</v>
      </c>
      <c r="E308" s="16">
        <v>5114</v>
      </c>
      <c r="F308" s="18">
        <f t="shared" ref="F308:F339" si="109">SUM(E308/D308)</f>
        <v>0.82884927066450564</v>
      </c>
    </row>
    <row r="309" spans="1:6" ht="15" customHeight="1" x14ac:dyDescent="0.25">
      <c r="A309" s="15">
        <v>2</v>
      </c>
      <c r="B309" s="15" t="s">
        <v>204</v>
      </c>
      <c r="C309" s="16">
        <v>4</v>
      </c>
      <c r="D309" s="16">
        <v>1515</v>
      </c>
      <c r="E309" s="16">
        <v>1319</v>
      </c>
      <c r="F309" s="18">
        <f t="shared" si="109"/>
        <v>0.87062706270627066</v>
      </c>
    </row>
    <row r="310" spans="1:6" ht="23.1" customHeight="1" x14ac:dyDescent="0.25">
      <c r="A310" s="22"/>
      <c r="B310" s="22" t="s">
        <v>39</v>
      </c>
      <c r="C310" s="14">
        <f t="shared" ref="C310" si="110">SUM(C311:C314)</f>
        <v>19</v>
      </c>
      <c r="D310" s="14">
        <f t="shared" ref="D310:E310" si="111">SUM(D311:D314)</f>
        <v>5970</v>
      </c>
      <c r="E310" s="14">
        <f t="shared" si="111"/>
        <v>5055</v>
      </c>
      <c r="F310" s="13">
        <f t="shared" si="109"/>
        <v>0.84673366834170849</v>
      </c>
    </row>
    <row r="311" spans="1:6" ht="15" customHeight="1" x14ac:dyDescent="0.25">
      <c r="A311" s="15">
        <v>1</v>
      </c>
      <c r="B311" s="15" t="s">
        <v>205</v>
      </c>
      <c r="C311" s="16">
        <v>5</v>
      </c>
      <c r="D311" s="16">
        <v>2116</v>
      </c>
      <c r="E311" s="16">
        <v>1726</v>
      </c>
      <c r="F311" s="18">
        <f t="shared" si="109"/>
        <v>0.81568998109640833</v>
      </c>
    </row>
    <row r="312" spans="1:6" ht="15" customHeight="1" x14ac:dyDescent="0.25">
      <c r="A312" s="15">
        <v>2</v>
      </c>
      <c r="B312" s="15" t="s">
        <v>206</v>
      </c>
      <c r="C312" s="16">
        <v>4</v>
      </c>
      <c r="D312" s="16">
        <v>1216</v>
      </c>
      <c r="E312" s="16">
        <v>1045</v>
      </c>
      <c r="F312" s="18">
        <f t="shared" si="109"/>
        <v>0.859375</v>
      </c>
    </row>
    <row r="313" spans="1:6" ht="15" customHeight="1" x14ac:dyDescent="0.25">
      <c r="A313" s="15">
        <v>3</v>
      </c>
      <c r="B313" s="15" t="s">
        <v>207</v>
      </c>
      <c r="C313" s="16">
        <v>6</v>
      </c>
      <c r="D313" s="16">
        <v>1450</v>
      </c>
      <c r="E313" s="16">
        <v>1236</v>
      </c>
      <c r="F313" s="18">
        <f t="shared" si="109"/>
        <v>0.85241379310344823</v>
      </c>
    </row>
    <row r="314" spans="1:6" ht="15" customHeight="1" x14ac:dyDescent="0.25">
      <c r="A314" s="15">
        <v>4</v>
      </c>
      <c r="B314" s="15" t="s">
        <v>208</v>
      </c>
      <c r="C314" s="16">
        <v>4</v>
      </c>
      <c r="D314" s="16">
        <v>1188</v>
      </c>
      <c r="E314" s="16">
        <v>1048</v>
      </c>
      <c r="F314" s="18">
        <f t="shared" si="109"/>
        <v>0.88215488215488214</v>
      </c>
    </row>
    <row r="315" spans="1:6" ht="23.1" customHeight="1" x14ac:dyDescent="0.25">
      <c r="A315" s="22"/>
      <c r="B315" s="22" t="s">
        <v>209</v>
      </c>
      <c r="C315" s="14">
        <f t="shared" ref="C315" si="112">SUM(C316+C327+C340)</f>
        <v>1201</v>
      </c>
      <c r="D315" s="14">
        <f t="shared" ref="D315:E315" si="113">SUM(D316+D327+D340)</f>
        <v>785994</v>
      </c>
      <c r="E315" s="14">
        <f t="shared" si="113"/>
        <v>674064</v>
      </c>
      <c r="F315" s="13">
        <f t="shared" si="109"/>
        <v>0.85759433278116626</v>
      </c>
    </row>
    <row r="316" spans="1:6" ht="23.1" customHeight="1" x14ac:dyDescent="0.25">
      <c r="A316" s="22"/>
      <c r="B316" s="22" t="s">
        <v>6</v>
      </c>
      <c r="C316" s="14">
        <f t="shared" ref="C316" si="114">SUM(C317:C326)</f>
        <v>433</v>
      </c>
      <c r="D316" s="14">
        <f t="shared" ref="D316:E316" si="115">SUM(D317:D326)</f>
        <v>280282</v>
      </c>
      <c r="E316" s="14">
        <f t="shared" si="115"/>
        <v>240095</v>
      </c>
      <c r="F316" s="13">
        <f t="shared" si="109"/>
        <v>0.85661940474236664</v>
      </c>
    </row>
    <row r="317" spans="1:6" ht="15" customHeight="1" x14ac:dyDescent="0.25">
      <c r="A317" s="15">
        <v>1</v>
      </c>
      <c r="B317" s="15" t="s">
        <v>188</v>
      </c>
      <c r="C317" s="20">
        <v>34</v>
      </c>
      <c r="D317" s="20">
        <v>24362</v>
      </c>
      <c r="E317" s="17">
        <v>21355</v>
      </c>
      <c r="F317" s="18">
        <f t="shared" si="109"/>
        <v>0.87657006813890481</v>
      </c>
    </row>
    <row r="318" spans="1:6" ht="15" customHeight="1" x14ac:dyDescent="0.25">
      <c r="A318" s="15">
        <v>2</v>
      </c>
      <c r="B318" s="15" t="s">
        <v>210</v>
      </c>
      <c r="C318" s="20">
        <v>63</v>
      </c>
      <c r="D318" s="20">
        <v>39040</v>
      </c>
      <c r="E318" s="17">
        <v>33761</v>
      </c>
      <c r="F318" s="18">
        <f t="shared" si="109"/>
        <v>0.8647797131147541</v>
      </c>
    </row>
    <row r="319" spans="1:6" ht="15" customHeight="1" x14ac:dyDescent="0.25">
      <c r="A319" s="15">
        <v>3</v>
      </c>
      <c r="B319" s="15" t="s">
        <v>211</v>
      </c>
      <c r="C319" s="20">
        <v>74</v>
      </c>
      <c r="D319" s="20">
        <v>50449</v>
      </c>
      <c r="E319" s="16">
        <v>43395</v>
      </c>
      <c r="F319" s="18">
        <f t="shared" si="109"/>
        <v>0.86017562290630145</v>
      </c>
    </row>
    <row r="320" spans="1:6" ht="15" customHeight="1" x14ac:dyDescent="0.25">
      <c r="A320" s="15">
        <v>4</v>
      </c>
      <c r="B320" s="15" t="s">
        <v>212</v>
      </c>
      <c r="C320" s="20">
        <v>35</v>
      </c>
      <c r="D320" s="20">
        <v>20434</v>
      </c>
      <c r="E320" s="17">
        <v>16545</v>
      </c>
      <c r="F320" s="18">
        <f t="shared" si="109"/>
        <v>0.80967994518939024</v>
      </c>
    </row>
    <row r="321" spans="1:6" ht="15" customHeight="1" x14ac:dyDescent="0.25">
      <c r="A321" s="15">
        <v>5</v>
      </c>
      <c r="B321" s="15" t="s">
        <v>213</v>
      </c>
      <c r="C321" s="20">
        <v>31</v>
      </c>
      <c r="D321" s="20">
        <v>16758</v>
      </c>
      <c r="E321" s="16">
        <v>14413</v>
      </c>
      <c r="F321" s="18">
        <f t="shared" si="109"/>
        <v>0.86006683375104431</v>
      </c>
    </row>
    <row r="322" spans="1:6" ht="15" customHeight="1" x14ac:dyDescent="0.25">
      <c r="A322" s="15">
        <v>6</v>
      </c>
      <c r="B322" s="15" t="s">
        <v>214</v>
      </c>
      <c r="C322" s="20">
        <v>61</v>
      </c>
      <c r="D322" s="20">
        <v>36180</v>
      </c>
      <c r="E322" s="16">
        <v>30739</v>
      </c>
      <c r="F322" s="18">
        <f t="shared" si="109"/>
        <v>0.84961304588170261</v>
      </c>
    </row>
    <row r="323" spans="1:6" ht="15" customHeight="1" x14ac:dyDescent="0.25">
      <c r="A323" s="15">
        <v>7</v>
      </c>
      <c r="B323" s="15" t="s">
        <v>215</v>
      </c>
      <c r="C323" s="20">
        <v>39</v>
      </c>
      <c r="D323" s="20">
        <v>27767</v>
      </c>
      <c r="E323" s="16">
        <v>24746</v>
      </c>
      <c r="F323" s="18">
        <f t="shared" si="109"/>
        <v>0.89120178629308167</v>
      </c>
    </row>
    <row r="324" spans="1:6" ht="15" customHeight="1" x14ac:dyDescent="0.25">
      <c r="A324" s="15">
        <v>8</v>
      </c>
      <c r="B324" s="15" t="s">
        <v>216</v>
      </c>
      <c r="C324" s="20">
        <v>43</v>
      </c>
      <c r="D324" s="20">
        <v>29103</v>
      </c>
      <c r="E324" s="16">
        <v>24889</v>
      </c>
      <c r="F324" s="18">
        <f t="shared" si="109"/>
        <v>0.8552039308662337</v>
      </c>
    </row>
    <row r="325" spans="1:6" ht="15" customHeight="1" x14ac:dyDescent="0.25">
      <c r="A325" s="15">
        <v>9</v>
      </c>
      <c r="B325" s="15" t="s">
        <v>217</v>
      </c>
      <c r="C325" s="20">
        <v>34</v>
      </c>
      <c r="D325" s="20">
        <v>24099</v>
      </c>
      <c r="E325" s="16">
        <v>19610</v>
      </c>
      <c r="F325" s="18">
        <f t="shared" si="109"/>
        <v>0.81372671065189428</v>
      </c>
    </row>
    <row r="326" spans="1:6" ht="15" customHeight="1" x14ac:dyDescent="0.25">
      <c r="A326" s="15">
        <v>10</v>
      </c>
      <c r="B326" s="15" t="s">
        <v>218</v>
      </c>
      <c r="C326" s="20">
        <v>19</v>
      </c>
      <c r="D326" s="20">
        <v>12090</v>
      </c>
      <c r="E326" s="17">
        <v>10642</v>
      </c>
      <c r="F326" s="18">
        <f t="shared" si="109"/>
        <v>0.88023159636062864</v>
      </c>
    </row>
    <row r="327" spans="1:6" ht="23.1" customHeight="1" x14ac:dyDescent="0.25">
      <c r="A327" s="22"/>
      <c r="B327" s="22" t="s">
        <v>7</v>
      </c>
      <c r="C327" s="14">
        <f t="shared" ref="C327" si="116">SUM(C328:C339)</f>
        <v>354</v>
      </c>
      <c r="D327" s="14">
        <f t="shared" ref="D327:E327" si="117">SUM(D328:D339)</f>
        <v>210751</v>
      </c>
      <c r="E327" s="14">
        <f t="shared" si="117"/>
        <v>180133</v>
      </c>
      <c r="F327" s="13">
        <f t="shared" si="109"/>
        <v>0.8547195505596652</v>
      </c>
    </row>
    <row r="328" spans="1:6" ht="15" customHeight="1" x14ac:dyDescent="0.25">
      <c r="A328" s="15">
        <v>1</v>
      </c>
      <c r="B328" s="15" t="s">
        <v>219</v>
      </c>
      <c r="C328" s="20">
        <v>29</v>
      </c>
      <c r="D328" s="20">
        <v>21113</v>
      </c>
      <c r="E328" s="17">
        <v>18423</v>
      </c>
      <c r="F328" s="18">
        <f t="shared" si="109"/>
        <v>0.87259034717946293</v>
      </c>
    </row>
    <row r="329" spans="1:6" ht="15" customHeight="1" x14ac:dyDescent="0.25">
      <c r="A329" s="15">
        <v>2</v>
      </c>
      <c r="B329" s="15" t="s">
        <v>220</v>
      </c>
      <c r="C329" s="20">
        <v>36</v>
      </c>
      <c r="D329" s="20">
        <v>22193</v>
      </c>
      <c r="E329" s="17">
        <v>18392</v>
      </c>
      <c r="F329" s="18">
        <f t="shared" si="109"/>
        <v>0.82872977966025319</v>
      </c>
    </row>
    <row r="330" spans="1:6" ht="15" customHeight="1" x14ac:dyDescent="0.25">
      <c r="A330" s="15">
        <v>3</v>
      </c>
      <c r="B330" s="15" t="s">
        <v>221</v>
      </c>
      <c r="C330" s="20">
        <v>32</v>
      </c>
      <c r="D330" s="20">
        <v>22160</v>
      </c>
      <c r="E330" s="17">
        <v>18931</v>
      </c>
      <c r="F330" s="18">
        <f t="shared" si="109"/>
        <v>0.85428700361010834</v>
      </c>
    </row>
    <row r="331" spans="1:6" ht="15" customHeight="1" x14ac:dyDescent="0.25">
      <c r="A331" s="15">
        <v>4</v>
      </c>
      <c r="B331" s="15" t="s">
        <v>222</v>
      </c>
      <c r="C331" s="20">
        <v>18</v>
      </c>
      <c r="D331" s="20">
        <v>9900</v>
      </c>
      <c r="E331" s="16">
        <v>8538</v>
      </c>
      <c r="F331" s="18">
        <f t="shared" si="109"/>
        <v>0.86242424242424243</v>
      </c>
    </row>
    <row r="332" spans="1:6" ht="15" customHeight="1" x14ac:dyDescent="0.25">
      <c r="A332" s="15">
        <v>5</v>
      </c>
      <c r="B332" s="15" t="s">
        <v>223</v>
      </c>
      <c r="C332" s="20">
        <v>45</v>
      </c>
      <c r="D332" s="20">
        <v>22517</v>
      </c>
      <c r="E332" s="16">
        <v>18361</v>
      </c>
      <c r="F332" s="18">
        <f t="shared" si="109"/>
        <v>0.8154283430297109</v>
      </c>
    </row>
    <row r="333" spans="1:6" ht="15" customHeight="1" x14ac:dyDescent="0.25">
      <c r="A333" s="15">
        <v>6</v>
      </c>
      <c r="B333" s="15" t="s">
        <v>224</v>
      </c>
      <c r="C333" s="20">
        <v>42</v>
      </c>
      <c r="D333" s="20">
        <v>25884</v>
      </c>
      <c r="E333" s="16">
        <v>22057</v>
      </c>
      <c r="F333" s="18">
        <f t="shared" si="109"/>
        <v>0.85214804512440112</v>
      </c>
    </row>
    <row r="334" spans="1:6" ht="15" customHeight="1" x14ac:dyDescent="0.25">
      <c r="A334" s="15">
        <v>7</v>
      </c>
      <c r="B334" s="15" t="s">
        <v>225</v>
      </c>
      <c r="C334" s="20">
        <v>25</v>
      </c>
      <c r="D334" s="20">
        <v>16231</v>
      </c>
      <c r="E334" s="16">
        <v>14159</v>
      </c>
      <c r="F334" s="18">
        <f t="shared" si="109"/>
        <v>0.87234304725525225</v>
      </c>
    </row>
    <row r="335" spans="1:6" ht="15" customHeight="1" x14ac:dyDescent="0.25">
      <c r="A335" s="15">
        <v>8</v>
      </c>
      <c r="B335" s="15" t="s">
        <v>226</v>
      </c>
      <c r="C335" s="20">
        <v>27</v>
      </c>
      <c r="D335" s="20">
        <v>17910</v>
      </c>
      <c r="E335" s="17">
        <v>15540</v>
      </c>
      <c r="F335" s="18">
        <f t="shared" si="109"/>
        <v>0.86767169179229475</v>
      </c>
    </row>
    <row r="336" spans="1:6" ht="15" customHeight="1" x14ac:dyDescent="0.25">
      <c r="A336" s="15">
        <v>9</v>
      </c>
      <c r="B336" s="15" t="s">
        <v>227</v>
      </c>
      <c r="C336" s="20">
        <v>30</v>
      </c>
      <c r="D336" s="20">
        <v>13048</v>
      </c>
      <c r="E336" s="17">
        <v>11193</v>
      </c>
      <c r="F336" s="18">
        <f t="shared" si="109"/>
        <v>0.85783261802575106</v>
      </c>
    </row>
    <row r="337" spans="1:6" ht="15" customHeight="1" x14ac:dyDescent="0.25">
      <c r="A337" s="15">
        <v>10</v>
      </c>
      <c r="B337" s="15" t="s">
        <v>228</v>
      </c>
      <c r="C337" s="20">
        <v>26</v>
      </c>
      <c r="D337" s="20">
        <v>17173</v>
      </c>
      <c r="E337" s="17">
        <v>14578</v>
      </c>
      <c r="F337" s="18">
        <f t="shared" si="109"/>
        <v>0.84889070051825544</v>
      </c>
    </row>
    <row r="338" spans="1:6" ht="15" customHeight="1" x14ac:dyDescent="0.25">
      <c r="A338" s="15">
        <v>11</v>
      </c>
      <c r="B338" s="15" t="s">
        <v>229</v>
      </c>
      <c r="C338" s="20">
        <v>10</v>
      </c>
      <c r="D338" s="20">
        <v>3309</v>
      </c>
      <c r="E338" s="17">
        <v>2876</v>
      </c>
      <c r="F338" s="18">
        <f t="shared" si="109"/>
        <v>0.86914475672408587</v>
      </c>
    </row>
    <row r="339" spans="1:6" ht="15" customHeight="1" x14ac:dyDescent="0.25">
      <c r="A339" s="15">
        <v>12</v>
      </c>
      <c r="B339" s="15" t="s">
        <v>1344</v>
      </c>
      <c r="C339" s="20">
        <v>34</v>
      </c>
      <c r="D339" s="20">
        <v>19313</v>
      </c>
      <c r="E339" s="17">
        <v>17085</v>
      </c>
      <c r="F339" s="18">
        <f t="shared" si="109"/>
        <v>0.88463729094392374</v>
      </c>
    </row>
    <row r="340" spans="1:6" ht="23.1" customHeight="1" x14ac:dyDescent="0.25">
      <c r="A340" s="22"/>
      <c r="B340" s="22" t="s">
        <v>8</v>
      </c>
      <c r="C340" s="14">
        <f t="shared" ref="C340" si="118">SUM(C341:C347)</f>
        <v>414</v>
      </c>
      <c r="D340" s="14">
        <f t="shared" ref="D340:E340" si="119">SUM(D341:D347)</f>
        <v>294961</v>
      </c>
      <c r="E340" s="14">
        <f t="shared" si="119"/>
        <v>253836</v>
      </c>
      <c r="F340" s="13">
        <f t="shared" ref="F340:F371" si="120">SUM(E340/D340)</f>
        <v>0.86057478785330943</v>
      </c>
    </row>
    <row r="341" spans="1:6" ht="15" customHeight="1" x14ac:dyDescent="0.25">
      <c r="A341" s="15">
        <v>1</v>
      </c>
      <c r="B341" s="15" t="s">
        <v>230</v>
      </c>
      <c r="C341" s="20">
        <v>57</v>
      </c>
      <c r="D341" s="20">
        <v>32964</v>
      </c>
      <c r="E341" s="17">
        <v>29179</v>
      </c>
      <c r="F341" s="18">
        <f t="shared" si="120"/>
        <v>0.88517776968814466</v>
      </c>
    </row>
    <row r="342" spans="1:6" ht="15" customHeight="1" x14ac:dyDescent="0.25">
      <c r="A342" s="15">
        <v>2</v>
      </c>
      <c r="B342" s="15" t="s">
        <v>231</v>
      </c>
      <c r="C342" s="20">
        <v>31</v>
      </c>
      <c r="D342" s="20">
        <v>23448</v>
      </c>
      <c r="E342" s="16">
        <v>20371</v>
      </c>
      <c r="F342" s="18">
        <f t="shared" si="120"/>
        <v>0.8687734561583077</v>
      </c>
    </row>
    <row r="343" spans="1:6" ht="15" customHeight="1" x14ac:dyDescent="0.25">
      <c r="A343" s="15">
        <v>3</v>
      </c>
      <c r="B343" s="15" t="s">
        <v>232</v>
      </c>
      <c r="C343" s="20">
        <v>29</v>
      </c>
      <c r="D343" s="20">
        <v>18868</v>
      </c>
      <c r="E343" s="17">
        <v>16477</v>
      </c>
      <c r="F343" s="18">
        <f t="shared" si="120"/>
        <v>0.87327750688997241</v>
      </c>
    </row>
    <row r="344" spans="1:6" ht="15" customHeight="1" x14ac:dyDescent="0.25">
      <c r="A344" s="15">
        <v>4</v>
      </c>
      <c r="B344" s="15" t="s">
        <v>233</v>
      </c>
      <c r="C344" s="20">
        <v>46</v>
      </c>
      <c r="D344" s="20">
        <v>30770</v>
      </c>
      <c r="E344" s="17">
        <v>26520</v>
      </c>
      <c r="F344" s="18">
        <f t="shared" si="120"/>
        <v>0.86187845303867405</v>
      </c>
    </row>
    <row r="345" spans="1:6" ht="15" customHeight="1" x14ac:dyDescent="0.25">
      <c r="A345" s="15">
        <v>5</v>
      </c>
      <c r="B345" s="15" t="s">
        <v>234</v>
      </c>
      <c r="C345" s="20">
        <v>77</v>
      </c>
      <c r="D345" s="20">
        <v>51787</v>
      </c>
      <c r="E345" s="17">
        <v>45071</v>
      </c>
      <c r="F345" s="18">
        <f t="shared" si="120"/>
        <v>0.87031494390484099</v>
      </c>
    </row>
    <row r="346" spans="1:6" ht="15" customHeight="1" x14ac:dyDescent="0.25">
      <c r="A346" s="15">
        <v>6</v>
      </c>
      <c r="B346" s="15" t="s">
        <v>235</v>
      </c>
      <c r="C346" s="20">
        <v>55</v>
      </c>
      <c r="D346" s="20">
        <v>39161</v>
      </c>
      <c r="E346" s="17">
        <v>33458</v>
      </c>
      <c r="F346" s="18">
        <f t="shared" si="120"/>
        <v>0.85437041955006254</v>
      </c>
    </row>
    <row r="347" spans="1:6" ht="15" customHeight="1" x14ac:dyDescent="0.25">
      <c r="A347" s="15"/>
      <c r="B347" s="24" t="s">
        <v>1604</v>
      </c>
      <c r="C347" s="20">
        <v>119</v>
      </c>
      <c r="D347" s="20">
        <v>97963</v>
      </c>
      <c r="E347" s="17">
        <v>82760</v>
      </c>
      <c r="F347" s="18">
        <f t="shared" si="120"/>
        <v>0.84480875432561275</v>
      </c>
    </row>
    <row r="348" spans="1:6" ht="23.1" customHeight="1" x14ac:dyDescent="0.25">
      <c r="A348" s="22"/>
      <c r="B348" s="22" t="s">
        <v>236</v>
      </c>
      <c r="C348" s="12">
        <f t="shared" ref="C348" si="121">C349+C359+C366+C372+C378+C387</f>
        <v>1671</v>
      </c>
      <c r="D348" s="12">
        <f t="shared" ref="D348:E348" si="122">D349+D359+D366+D372+D378+D387</f>
        <v>1125541</v>
      </c>
      <c r="E348" s="12">
        <f t="shared" si="122"/>
        <v>944829</v>
      </c>
      <c r="F348" s="13">
        <f t="shared" si="120"/>
        <v>0.83944432055340501</v>
      </c>
    </row>
    <row r="349" spans="1:6" ht="23.1" customHeight="1" x14ac:dyDescent="0.25">
      <c r="A349" s="22"/>
      <c r="B349" s="22" t="s">
        <v>6</v>
      </c>
      <c r="C349" s="14">
        <f t="shared" ref="C349" si="123">SUM(C350:C358)</f>
        <v>405</v>
      </c>
      <c r="D349" s="14">
        <f t="shared" ref="D349" si="124">SUM(D350:D358)</f>
        <v>265453</v>
      </c>
      <c r="E349" s="14">
        <f>SUM(E350:E358)</f>
        <v>217988</v>
      </c>
      <c r="F349" s="13">
        <f t="shared" si="120"/>
        <v>0.82119245214783787</v>
      </c>
    </row>
    <row r="350" spans="1:6" ht="15" customHeight="1" x14ac:dyDescent="0.25">
      <c r="A350" s="15">
        <v>1</v>
      </c>
      <c r="B350" s="15" t="s">
        <v>237</v>
      </c>
      <c r="C350" s="20">
        <v>45</v>
      </c>
      <c r="D350" s="20">
        <v>32670</v>
      </c>
      <c r="E350" s="16">
        <v>27835</v>
      </c>
      <c r="F350" s="18">
        <f t="shared" si="120"/>
        <v>0.85200489745944297</v>
      </c>
    </row>
    <row r="351" spans="1:6" ht="15" customHeight="1" x14ac:dyDescent="0.25">
      <c r="A351" s="15">
        <v>2</v>
      </c>
      <c r="B351" s="15" t="s">
        <v>1345</v>
      </c>
      <c r="C351" s="20">
        <v>34</v>
      </c>
      <c r="D351" s="20">
        <v>18640</v>
      </c>
      <c r="E351" s="16">
        <v>15641</v>
      </c>
      <c r="F351" s="18">
        <f t="shared" si="120"/>
        <v>0.83910944206008586</v>
      </c>
    </row>
    <row r="352" spans="1:6" ht="15" customHeight="1" x14ac:dyDescent="0.25">
      <c r="A352" s="15">
        <v>3</v>
      </c>
      <c r="B352" s="15" t="s">
        <v>238</v>
      </c>
      <c r="C352" s="20">
        <v>12</v>
      </c>
      <c r="D352" s="20">
        <v>4021</v>
      </c>
      <c r="E352" s="16">
        <v>3279</v>
      </c>
      <c r="F352" s="18">
        <f t="shared" si="120"/>
        <v>0.81546878885849294</v>
      </c>
    </row>
    <row r="353" spans="1:6" ht="15" customHeight="1" x14ac:dyDescent="0.25">
      <c r="A353" s="15">
        <v>4</v>
      </c>
      <c r="B353" s="15" t="s">
        <v>239</v>
      </c>
      <c r="C353" s="20">
        <v>10</v>
      </c>
      <c r="D353" s="20">
        <v>3702</v>
      </c>
      <c r="E353" s="16">
        <v>2918</v>
      </c>
      <c r="F353" s="18">
        <f t="shared" si="120"/>
        <v>0.78822258238789844</v>
      </c>
    </row>
    <row r="354" spans="1:6" ht="15" customHeight="1" x14ac:dyDescent="0.25">
      <c r="A354" s="15">
        <v>5</v>
      </c>
      <c r="B354" s="15" t="s">
        <v>241</v>
      </c>
      <c r="C354" s="20">
        <v>24</v>
      </c>
      <c r="D354" s="20">
        <v>17489</v>
      </c>
      <c r="E354" s="16">
        <v>15019</v>
      </c>
      <c r="F354" s="18">
        <f t="shared" si="120"/>
        <v>0.85876836868889017</v>
      </c>
    </row>
    <row r="355" spans="1:6" ht="15" customHeight="1" x14ac:dyDescent="0.25">
      <c r="A355" s="15">
        <v>6</v>
      </c>
      <c r="B355" s="15" t="s">
        <v>140</v>
      </c>
      <c r="C355" s="20">
        <v>26</v>
      </c>
      <c r="D355" s="20">
        <v>18011</v>
      </c>
      <c r="E355" s="16">
        <v>14781</v>
      </c>
      <c r="F355" s="18">
        <f t="shared" si="120"/>
        <v>0.82066514907556498</v>
      </c>
    </row>
    <row r="356" spans="1:6" ht="15" customHeight="1" x14ac:dyDescent="0.25">
      <c r="A356" s="15">
        <v>7</v>
      </c>
      <c r="B356" s="15" t="s">
        <v>161</v>
      </c>
      <c r="C356" s="20">
        <v>32</v>
      </c>
      <c r="D356" s="20">
        <v>17760</v>
      </c>
      <c r="E356" s="16">
        <v>13519</v>
      </c>
      <c r="F356" s="18">
        <f t="shared" si="120"/>
        <v>0.76120495495495499</v>
      </c>
    </row>
    <row r="357" spans="1:6" ht="15" customHeight="1" x14ac:dyDescent="0.25">
      <c r="A357" s="15">
        <v>8</v>
      </c>
      <c r="B357" s="15" t="s">
        <v>242</v>
      </c>
      <c r="C357" s="20">
        <v>72</v>
      </c>
      <c r="D357" s="20">
        <v>47634</v>
      </c>
      <c r="E357" s="16">
        <v>38091</v>
      </c>
      <c r="F357" s="18">
        <f t="shared" si="120"/>
        <v>0.79965990678926813</v>
      </c>
    </row>
    <row r="358" spans="1:6" ht="15" customHeight="1" x14ac:dyDescent="0.25">
      <c r="A358" s="15"/>
      <c r="B358" s="24" t="s">
        <v>1346</v>
      </c>
      <c r="C358" s="20">
        <v>150</v>
      </c>
      <c r="D358" s="20">
        <v>105526</v>
      </c>
      <c r="E358" s="16">
        <v>86905</v>
      </c>
      <c r="F358" s="18">
        <f t="shared" si="120"/>
        <v>0.82354111782878148</v>
      </c>
    </row>
    <row r="359" spans="1:6" ht="23.1" customHeight="1" x14ac:dyDescent="0.25">
      <c r="A359" s="22"/>
      <c r="B359" s="22" t="s">
        <v>7</v>
      </c>
      <c r="C359" s="12">
        <f t="shared" ref="C359" si="125">SUM(C360:C365)</f>
        <v>197</v>
      </c>
      <c r="D359" s="12">
        <f t="shared" ref="D359" si="126">SUM(D360:D365)</f>
        <v>127579</v>
      </c>
      <c r="E359" s="14">
        <f>SUM(E360:E365)</f>
        <v>108230</v>
      </c>
      <c r="F359" s="13">
        <f t="shared" si="120"/>
        <v>0.84833710877181978</v>
      </c>
    </row>
    <row r="360" spans="1:6" ht="15" customHeight="1" x14ac:dyDescent="0.25">
      <c r="A360" s="15">
        <v>1</v>
      </c>
      <c r="B360" s="15" t="s">
        <v>244</v>
      </c>
      <c r="C360" s="20">
        <v>36</v>
      </c>
      <c r="D360" s="20">
        <v>19914</v>
      </c>
      <c r="E360" s="16">
        <v>17332</v>
      </c>
      <c r="F360" s="18">
        <f t="shared" si="120"/>
        <v>0.87034247263231901</v>
      </c>
    </row>
    <row r="361" spans="1:6" ht="15" customHeight="1" x14ac:dyDescent="0.25">
      <c r="A361" s="15">
        <v>2</v>
      </c>
      <c r="B361" s="15" t="s">
        <v>245</v>
      </c>
      <c r="C361" s="20">
        <v>26</v>
      </c>
      <c r="D361" s="20">
        <v>20313</v>
      </c>
      <c r="E361" s="16">
        <v>17175</v>
      </c>
      <c r="F361" s="18">
        <f t="shared" si="120"/>
        <v>0.84551764879633728</v>
      </c>
    </row>
    <row r="362" spans="1:6" ht="15" customHeight="1" x14ac:dyDescent="0.25">
      <c r="A362" s="15">
        <v>3</v>
      </c>
      <c r="B362" s="15" t="s">
        <v>158</v>
      </c>
      <c r="C362" s="20">
        <v>34</v>
      </c>
      <c r="D362" s="20">
        <v>21382</v>
      </c>
      <c r="E362" s="16">
        <v>18752</v>
      </c>
      <c r="F362" s="18">
        <f t="shared" si="120"/>
        <v>0.87699934524366285</v>
      </c>
    </row>
    <row r="363" spans="1:6" ht="15" customHeight="1" x14ac:dyDescent="0.25">
      <c r="A363" s="15">
        <v>4</v>
      </c>
      <c r="B363" s="15" t="s">
        <v>240</v>
      </c>
      <c r="C363" s="20">
        <v>19</v>
      </c>
      <c r="D363" s="20">
        <v>12460</v>
      </c>
      <c r="E363" s="16">
        <v>9574</v>
      </c>
      <c r="F363" s="18">
        <f t="shared" si="120"/>
        <v>0.76837881219903692</v>
      </c>
    </row>
    <row r="364" spans="1:6" ht="15" customHeight="1" x14ac:dyDescent="0.25">
      <c r="A364" s="15">
        <v>5</v>
      </c>
      <c r="B364" s="15" t="s">
        <v>254</v>
      </c>
      <c r="C364" s="20">
        <v>25</v>
      </c>
      <c r="D364" s="20">
        <v>17780</v>
      </c>
      <c r="E364" s="16">
        <v>14740</v>
      </c>
      <c r="F364" s="18">
        <f t="shared" si="120"/>
        <v>0.82902137232845896</v>
      </c>
    </row>
    <row r="365" spans="1:6" ht="15" customHeight="1" x14ac:dyDescent="0.25">
      <c r="A365" s="15">
        <v>6</v>
      </c>
      <c r="B365" s="15" t="s">
        <v>250</v>
      </c>
      <c r="C365" s="20">
        <v>57</v>
      </c>
      <c r="D365" s="20">
        <v>35730</v>
      </c>
      <c r="E365" s="16">
        <v>30657</v>
      </c>
      <c r="F365" s="18">
        <f t="shared" si="120"/>
        <v>0.85801847187237612</v>
      </c>
    </row>
    <row r="366" spans="1:6" ht="23.1" customHeight="1" x14ac:dyDescent="0.25">
      <c r="A366" s="22"/>
      <c r="B366" s="22" t="s">
        <v>8</v>
      </c>
      <c r="C366" s="12">
        <f t="shared" ref="C366" si="127">SUM(C367:C371)</f>
        <v>270</v>
      </c>
      <c r="D366" s="12">
        <f t="shared" ref="D366" si="128">SUM(D367:D371)</f>
        <v>180353</v>
      </c>
      <c r="E366" s="14">
        <f>SUM(E367:E371)</f>
        <v>152903</v>
      </c>
      <c r="F366" s="13">
        <f t="shared" si="120"/>
        <v>0.84779848408399083</v>
      </c>
    </row>
    <row r="367" spans="1:6" ht="15" customHeight="1" x14ac:dyDescent="0.25">
      <c r="A367" s="15">
        <v>1</v>
      </c>
      <c r="B367" s="15" t="s">
        <v>251</v>
      </c>
      <c r="C367" s="20">
        <v>67</v>
      </c>
      <c r="D367" s="20">
        <v>50123</v>
      </c>
      <c r="E367" s="16">
        <v>40247</v>
      </c>
      <c r="F367" s="18">
        <f t="shared" si="120"/>
        <v>0.80296470682121979</v>
      </c>
    </row>
    <row r="368" spans="1:6" ht="15" customHeight="1" x14ac:dyDescent="0.25">
      <c r="A368" s="15">
        <v>2</v>
      </c>
      <c r="B368" s="15" t="s">
        <v>252</v>
      </c>
      <c r="C368" s="20">
        <v>63</v>
      </c>
      <c r="D368" s="20">
        <v>28877</v>
      </c>
      <c r="E368" s="16">
        <v>25258</v>
      </c>
      <c r="F368" s="18">
        <f t="shared" si="120"/>
        <v>0.87467534716210138</v>
      </c>
    </row>
    <row r="369" spans="1:6" ht="15" customHeight="1" x14ac:dyDescent="0.25">
      <c r="A369" s="15">
        <v>3</v>
      </c>
      <c r="B369" s="15" t="s">
        <v>253</v>
      </c>
      <c r="C369" s="20">
        <v>39</v>
      </c>
      <c r="D369" s="20">
        <v>26018</v>
      </c>
      <c r="E369" s="16">
        <v>23143</v>
      </c>
      <c r="F369" s="18">
        <f t="shared" si="120"/>
        <v>0.88949957721577366</v>
      </c>
    </row>
    <row r="370" spans="1:6" ht="15" customHeight="1" x14ac:dyDescent="0.25">
      <c r="A370" s="15">
        <v>4</v>
      </c>
      <c r="B370" s="15" t="s">
        <v>261</v>
      </c>
      <c r="C370" s="20">
        <v>44</v>
      </c>
      <c r="D370" s="20">
        <v>32769</v>
      </c>
      <c r="E370" s="16">
        <v>27658</v>
      </c>
      <c r="F370" s="18">
        <f t="shared" si="120"/>
        <v>0.84402941804754494</v>
      </c>
    </row>
    <row r="371" spans="1:6" ht="15" customHeight="1" x14ac:dyDescent="0.25">
      <c r="A371" s="15">
        <v>5</v>
      </c>
      <c r="B371" s="15" t="s">
        <v>256</v>
      </c>
      <c r="C371" s="20">
        <v>57</v>
      </c>
      <c r="D371" s="20">
        <v>42566</v>
      </c>
      <c r="E371" s="16">
        <v>36597</v>
      </c>
      <c r="F371" s="18">
        <f t="shared" si="120"/>
        <v>0.85977070901658603</v>
      </c>
    </row>
    <row r="372" spans="1:6" ht="23.1" customHeight="1" x14ac:dyDescent="0.25">
      <c r="A372" s="22"/>
      <c r="B372" s="22" t="s">
        <v>9</v>
      </c>
      <c r="C372" s="14">
        <f>SUM(C373:C377)</f>
        <v>267</v>
      </c>
      <c r="D372" s="14">
        <f>SUM(D373:D377)</f>
        <v>196747</v>
      </c>
      <c r="E372" s="14">
        <f>SUM(E373:E377)</f>
        <v>165973</v>
      </c>
      <c r="F372" s="13">
        <f t="shared" ref="F372:F392" si="129">SUM(E372/D372)</f>
        <v>0.84358592507128449</v>
      </c>
    </row>
    <row r="373" spans="1:6" ht="15" customHeight="1" x14ac:dyDescent="0.25">
      <c r="A373" s="15">
        <v>1</v>
      </c>
      <c r="B373" s="15" t="s">
        <v>257</v>
      </c>
      <c r="C373" s="20">
        <v>41</v>
      </c>
      <c r="D373" s="20">
        <v>29546</v>
      </c>
      <c r="E373" s="16">
        <v>25228</v>
      </c>
      <c r="F373" s="18">
        <f t="shared" si="129"/>
        <v>0.85385500575373996</v>
      </c>
    </row>
    <row r="374" spans="1:6" ht="15" customHeight="1" x14ac:dyDescent="0.25">
      <c r="A374" s="15">
        <v>2</v>
      </c>
      <c r="B374" s="15" t="s">
        <v>258</v>
      </c>
      <c r="C374" s="20">
        <v>9</v>
      </c>
      <c r="D374" s="20">
        <v>5760</v>
      </c>
      <c r="E374" s="16">
        <v>4676</v>
      </c>
      <c r="F374" s="18">
        <f t="shared" si="129"/>
        <v>0.81180555555555556</v>
      </c>
    </row>
    <row r="375" spans="1:6" ht="15" customHeight="1" x14ac:dyDescent="0.25">
      <c r="A375" s="15">
        <v>3</v>
      </c>
      <c r="B375" s="15" t="s">
        <v>260</v>
      </c>
      <c r="C375" s="20">
        <v>55</v>
      </c>
      <c r="D375" s="20">
        <v>30296</v>
      </c>
      <c r="E375" s="16">
        <v>25771</v>
      </c>
      <c r="F375" s="18">
        <f t="shared" si="129"/>
        <v>0.85064034856086612</v>
      </c>
    </row>
    <row r="376" spans="1:6" ht="15" customHeight="1" x14ac:dyDescent="0.25">
      <c r="A376" s="15">
        <v>4</v>
      </c>
      <c r="B376" s="15" t="s">
        <v>262</v>
      </c>
      <c r="C376" s="20">
        <v>27</v>
      </c>
      <c r="D376" s="20">
        <v>15378</v>
      </c>
      <c r="E376" s="16">
        <v>12770</v>
      </c>
      <c r="F376" s="18">
        <f t="shared" si="129"/>
        <v>0.83040707504226818</v>
      </c>
    </row>
    <row r="377" spans="1:6" ht="15" customHeight="1" x14ac:dyDescent="0.25">
      <c r="A377" s="15"/>
      <c r="B377" s="24" t="s">
        <v>263</v>
      </c>
      <c r="C377" s="20">
        <v>135</v>
      </c>
      <c r="D377" s="20">
        <v>115767</v>
      </c>
      <c r="E377" s="16">
        <v>97528</v>
      </c>
      <c r="F377" s="18">
        <f t="shared" si="129"/>
        <v>0.84245078476595225</v>
      </c>
    </row>
    <row r="378" spans="1:6" ht="23.1" customHeight="1" x14ac:dyDescent="0.25">
      <c r="A378" s="15"/>
      <c r="B378" s="22" t="s">
        <v>10</v>
      </c>
      <c r="C378" s="12">
        <f t="shared" ref="C378" si="130">SUM(C379:C386)</f>
        <v>257</v>
      </c>
      <c r="D378" s="12">
        <f t="shared" ref="D378" si="131">SUM(D379:D386)</f>
        <v>172212</v>
      </c>
      <c r="E378" s="12">
        <f>SUM(E379:E386)</f>
        <v>146959</v>
      </c>
      <c r="F378" s="13">
        <f t="shared" si="129"/>
        <v>0.85336097368359931</v>
      </c>
    </row>
    <row r="379" spans="1:6" ht="15" customHeight="1" x14ac:dyDescent="0.25">
      <c r="A379" s="15">
        <v>1</v>
      </c>
      <c r="B379" s="15" t="s">
        <v>243</v>
      </c>
      <c r="C379" s="20">
        <v>40</v>
      </c>
      <c r="D379" s="20">
        <v>24521</v>
      </c>
      <c r="E379" s="16">
        <v>21448</v>
      </c>
      <c r="F379" s="18">
        <f t="shared" si="129"/>
        <v>0.87467884670282614</v>
      </c>
    </row>
    <row r="380" spans="1:6" ht="15" customHeight="1" x14ac:dyDescent="0.25">
      <c r="A380" s="15">
        <v>2</v>
      </c>
      <c r="B380" s="15" t="s">
        <v>101</v>
      </c>
      <c r="C380" s="20">
        <v>25</v>
      </c>
      <c r="D380" s="20">
        <v>17190</v>
      </c>
      <c r="E380" s="16">
        <v>14072</v>
      </c>
      <c r="F380" s="18">
        <f t="shared" si="129"/>
        <v>0.81861547411285629</v>
      </c>
    </row>
    <row r="381" spans="1:6" ht="15" customHeight="1" x14ac:dyDescent="0.25">
      <c r="A381" s="15">
        <v>3</v>
      </c>
      <c r="B381" s="15" t="s">
        <v>53</v>
      </c>
      <c r="C381" s="20">
        <v>25</v>
      </c>
      <c r="D381" s="20">
        <v>14869</v>
      </c>
      <c r="E381" s="16">
        <v>12718</v>
      </c>
      <c r="F381" s="18">
        <f t="shared" si="129"/>
        <v>0.85533660636223019</v>
      </c>
    </row>
    <row r="382" spans="1:6" ht="15" customHeight="1" x14ac:dyDescent="0.25">
      <c r="A382" s="15">
        <v>4</v>
      </c>
      <c r="B382" s="15" t="s">
        <v>246</v>
      </c>
      <c r="C382" s="20">
        <v>31</v>
      </c>
      <c r="D382" s="20">
        <v>20355</v>
      </c>
      <c r="E382" s="16">
        <v>17597</v>
      </c>
      <c r="F382" s="18">
        <f t="shared" si="129"/>
        <v>0.86450503561778436</v>
      </c>
    </row>
    <row r="383" spans="1:6" ht="15" customHeight="1" x14ac:dyDescent="0.25">
      <c r="A383" s="15">
        <v>5</v>
      </c>
      <c r="B383" s="15" t="s">
        <v>247</v>
      </c>
      <c r="C383" s="20">
        <v>22</v>
      </c>
      <c r="D383" s="20">
        <v>16004</v>
      </c>
      <c r="E383" s="16">
        <v>12764</v>
      </c>
      <c r="F383" s="18">
        <f t="shared" si="129"/>
        <v>0.79755061234691327</v>
      </c>
    </row>
    <row r="384" spans="1:6" ht="15" customHeight="1" x14ac:dyDescent="0.25">
      <c r="A384" s="15">
        <v>6</v>
      </c>
      <c r="B384" s="15" t="s">
        <v>248</v>
      </c>
      <c r="C384" s="20">
        <v>27</v>
      </c>
      <c r="D384" s="20">
        <v>16742</v>
      </c>
      <c r="E384" s="16">
        <v>14673</v>
      </c>
      <c r="F384" s="18">
        <f t="shared" si="129"/>
        <v>0.87641858798231986</v>
      </c>
    </row>
    <row r="385" spans="1:6" ht="15" customHeight="1" x14ac:dyDescent="0.25">
      <c r="A385" s="15">
        <v>7</v>
      </c>
      <c r="B385" s="15" t="s">
        <v>249</v>
      </c>
      <c r="C385" s="20">
        <v>55</v>
      </c>
      <c r="D385" s="20">
        <v>41442</v>
      </c>
      <c r="E385" s="16">
        <v>35710</v>
      </c>
      <c r="F385" s="18">
        <f t="shared" si="129"/>
        <v>0.86168621205540274</v>
      </c>
    </row>
    <row r="386" spans="1:6" ht="15" customHeight="1" x14ac:dyDescent="0.25">
      <c r="A386" s="15">
        <v>8</v>
      </c>
      <c r="B386" s="15" t="s">
        <v>199</v>
      </c>
      <c r="C386" s="20">
        <v>32</v>
      </c>
      <c r="D386" s="20">
        <v>21089</v>
      </c>
      <c r="E386" s="16">
        <v>17977</v>
      </c>
      <c r="F386" s="18">
        <f t="shared" si="129"/>
        <v>0.85243491867798382</v>
      </c>
    </row>
    <row r="387" spans="1:6" ht="23.1" customHeight="1" x14ac:dyDescent="0.25">
      <c r="A387" s="15"/>
      <c r="B387" s="22" t="s">
        <v>11</v>
      </c>
      <c r="C387" s="12">
        <f t="shared" ref="C387" si="132">SUM(C388:C391)</f>
        <v>275</v>
      </c>
      <c r="D387" s="12">
        <f t="shared" ref="D387" si="133">SUM(D388:D391)</f>
        <v>183197</v>
      </c>
      <c r="E387" s="12">
        <f>SUM(E388:E391)</f>
        <v>152776</v>
      </c>
      <c r="F387" s="13">
        <f t="shared" si="129"/>
        <v>0.83394378728909313</v>
      </c>
    </row>
    <row r="388" spans="1:6" ht="15" customHeight="1" x14ac:dyDescent="0.25">
      <c r="A388" s="15">
        <v>1</v>
      </c>
      <c r="B388" s="15" t="s">
        <v>255</v>
      </c>
      <c r="C388" s="16">
        <v>28</v>
      </c>
      <c r="D388" s="16">
        <v>13806</v>
      </c>
      <c r="E388" s="16">
        <v>11752</v>
      </c>
      <c r="F388" s="18">
        <f t="shared" si="129"/>
        <v>0.8512241054613936</v>
      </c>
    </row>
    <row r="389" spans="1:6" ht="15" customHeight="1" x14ac:dyDescent="0.25">
      <c r="A389" s="15">
        <v>2</v>
      </c>
      <c r="B389" s="15" t="s">
        <v>35</v>
      </c>
      <c r="C389" s="16">
        <v>25</v>
      </c>
      <c r="D389" s="16">
        <v>16761</v>
      </c>
      <c r="E389" s="16">
        <v>14656</v>
      </c>
      <c r="F389" s="18">
        <f t="shared" si="129"/>
        <v>0.87441083467573533</v>
      </c>
    </row>
    <row r="390" spans="1:6" ht="15" customHeight="1" x14ac:dyDescent="0.25">
      <c r="A390" s="15">
        <v>3</v>
      </c>
      <c r="B390" s="15" t="s">
        <v>259</v>
      </c>
      <c r="C390" s="16">
        <v>91</v>
      </c>
      <c r="D390" s="16">
        <v>58845</v>
      </c>
      <c r="E390" s="16">
        <v>47863</v>
      </c>
      <c r="F390" s="18">
        <f t="shared" si="129"/>
        <v>0.81337411844676688</v>
      </c>
    </row>
    <row r="391" spans="1:6" ht="15" customHeight="1" x14ac:dyDescent="0.25">
      <c r="A391" s="15"/>
      <c r="B391" s="24" t="s">
        <v>1356</v>
      </c>
      <c r="C391" s="16">
        <v>131</v>
      </c>
      <c r="D391" s="16">
        <v>93785</v>
      </c>
      <c r="E391" s="16">
        <v>78505</v>
      </c>
      <c r="F391" s="18">
        <f t="shared" si="129"/>
        <v>0.83707415898064719</v>
      </c>
    </row>
    <row r="392" spans="1:6" ht="23.1" customHeight="1" x14ac:dyDescent="0.25">
      <c r="A392" s="22"/>
      <c r="B392" s="22" t="s">
        <v>264</v>
      </c>
      <c r="C392" s="14">
        <f t="shared" ref="C392" si="134">SUM(C394+C403)</f>
        <v>452</v>
      </c>
      <c r="D392" s="14">
        <f t="shared" ref="D392:E392" si="135">SUM(D394+D403)</f>
        <v>303090</v>
      </c>
      <c r="E392" s="14">
        <f t="shared" si="135"/>
        <v>258249</v>
      </c>
      <c r="F392" s="13">
        <f t="shared" si="129"/>
        <v>0.85205384539245765</v>
      </c>
    </row>
    <row r="393" spans="1:6" ht="23.1" customHeight="1" x14ac:dyDescent="0.25">
      <c r="A393" s="22"/>
      <c r="B393" s="22" t="s">
        <v>22</v>
      </c>
      <c r="C393" s="14"/>
      <c r="D393" s="14"/>
      <c r="E393" s="14"/>
      <c r="F393" s="18"/>
    </row>
    <row r="394" spans="1:6" ht="23.1" customHeight="1" x14ac:dyDescent="0.25">
      <c r="A394" s="22"/>
      <c r="B394" s="22" t="s">
        <v>23</v>
      </c>
      <c r="C394" s="14">
        <f t="shared" ref="C394" si="136">SUM(C395:C402)</f>
        <v>241</v>
      </c>
      <c r="D394" s="14">
        <f t="shared" ref="D394:E394" si="137">SUM(D395:D402)</f>
        <v>152153</v>
      </c>
      <c r="E394" s="14">
        <f t="shared" si="137"/>
        <v>129489</v>
      </c>
      <c r="F394" s="13">
        <f t="shared" ref="F394:F411" si="138">SUM(E394/D394)</f>
        <v>0.8510446721392283</v>
      </c>
    </row>
    <row r="395" spans="1:6" ht="15" customHeight="1" x14ac:dyDescent="0.25">
      <c r="A395" s="15">
        <v>1</v>
      </c>
      <c r="B395" s="15" t="s">
        <v>265</v>
      </c>
      <c r="C395" s="16">
        <v>11</v>
      </c>
      <c r="D395" s="16">
        <v>6866</v>
      </c>
      <c r="E395" s="16">
        <v>5336</v>
      </c>
      <c r="F395" s="18">
        <f t="shared" si="138"/>
        <v>0.7771628313428488</v>
      </c>
    </row>
    <row r="396" spans="1:6" ht="15" customHeight="1" x14ac:dyDescent="0.25">
      <c r="A396" s="15">
        <v>2</v>
      </c>
      <c r="B396" s="15" t="s">
        <v>266</v>
      </c>
      <c r="C396" s="16">
        <v>35</v>
      </c>
      <c r="D396" s="16">
        <v>23707</v>
      </c>
      <c r="E396" s="16">
        <v>19772</v>
      </c>
      <c r="F396" s="18">
        <f t="shared" si="138"/>
        <v>0.83401526975155016</v>
      </c>
    </row>
    <row r="397" spans="1:6" ht="15" customHeight="1" x14ac:dyDescent="0.25">
      <c r="A397" s="15">
        <v>3</v>
      </c>
      <c r="B397" s="15" t="s">
        <v>267</v>
      </c>
      <c r="C397" s="16">
        <v>50</v>
      </c>
      <c r="D397" s="16">
        <v>34457</v>
      </c>
      <c r="E397" s="16">
        <v>29278</v>
      </c>
      <c r="F397" s="18">
        <f t="shared" si="138"/>
        <v>0.84969672345241898</v>
      </c>
    </row>
    <row r="398" spans="1:6" ht="15" customHeight="1" x14ac:dyDescent="0.25">
      <c r="A398" s="15">
        <v>4</v>
      </c>
      <c r="B398" s="15" t="s">
        <v>268</v>
      </c>
      <c r="C398" s="16">
        <v>26</v>
      </c>
      <c r="D398" s="16">
        <v>18629</v>
      </c>
      <c r="E398" s="16">
        <v>15995</v>
      </c>
      <c r="F398" s="18">
        <f t="shared" si="138"/>
        <v>0.85860754737237643</v>
      </c>
    </row>
    <row r="399" spans="1:6" ht="15" customHeight="1" x14ac:dyDescent="0.25">
      <c r="A399" s="15">
        <v>5</v>
      </c>
      <c r="B399" s="15" t="s">
        <v>269</v>
      </c>
      <c r="C399" s="16">
        <v>22</v>
      </c>
      <c r="D399" s="16">
        <v>14029</v>
      </c>
      <c r="E399" s="16">
        <v>12191</v>
      </c>
      <c r="F399" s="18">
        <f t="shared" si="138"/>
        <v>0.86898567253546222</v>
      </c>
    </row>
    <row r="400" spans="1:6" ht="15" customHeight="1" x14ac:dyDescent="0.25">
      <c r="A400" s="15">
        <v>6</v>
      </c>
      <c r="B400" s="15" t="s">
        <v>270</v>
      </c>
      <c r="C400" s="16">
        <v>39</v>
      </c>
      <c r="D400" s="16">
        <v>24998</v>
      </c>
      <c r="E400" s="16">
        <v>21224</v>
      </c>
      <c r="F400" s="18">
        <f t="shared" si="138"/>
        <v>0.84902792223377865</v>
      </c>
    </row>
    <row r="401" spans="1:6" ht="15" customHeight="1" x14ac:dyDescent="0.25">
      <c r="A401" s="15">
        <v>7</v>
      </c>
      <c r="B401" s="15" t="s">
        <v>271</v>
      </c>
      <c r="C401" s="16">
        <v>36</v>
      </c>
      <c r="D401" s="16">
        <v>16376</v>
      </c>
      <c r="E401" s="16">
        <v>14076</v>
      </c>
      <c r="F401" s="18">
        <f t="shared" si="138"/>
        <v>0.8595505617977528</v>
      </c>
    </row>
    <row r="402" spans="1:6" ht="15" customHeight="1" x14ac:dyDescent="0.25">
      <c r="A402" s="15">
        <v>8</v>
      </c>
      <c r="B402" s="15" t="s">
        <v>272</v>
      </c>
      <c r="C402" s="16">
        <v>22</v>
      </c>
      <c r="D402" s="16">
        <v>13091</v>
      </c>
      <c r="E402" s="16">
        <v>11617</v>
      </c>
      <c r="F402" s="18">
        <f t="shared" si="138"/>
        <v>0.88740355969750206</v>
      </c>
    </row>
    <row r="403" spans="1:6" ht="23.1" customHeight="1" x14ac:dyDescent="0.25">
      <c r="A403" s="22"/>
      <c r="B403" s="22" t="s">
        <v>39</v>
      </c>
      <c r="C403" s="14">
        <f t="shared" ref="C403" si="139">SUM(C404:C410)</f>
        <v>211</v>
      </c>
      <c r="D403" s="14">
        <f t="shared" ref="D403:E403" si="140">SUM(D404:D410)</f>
        <v>150937</v>
      </c>
      <c r="E403" s="14">
        <f t="shared" si="140"/>
        <v>128760</v>
      </c>
      <c r="F403" s="13">
        <f t="shared" si="138"/>
        <v>0.85307114888993418</v>
      </c>
    </row>
    <row r="404" spans="1:6" ht="15" customHeight="1" x14ac:dyDescent="0.25">
      <c r="A404" s="15">
        <v>1</v>
      </c>
      <c r="B404" s="15" t="s">
        <v>273</v>
      </c>
      <c r="C404" s="20">
        <v>14</v>
      </c>
      <c r="D404" s="20">
        <v>7833</v>
      </c>
      <c r="E404" s="16">
        <v>7103</v>
      </c>
      <c r="F404" s="18">
        <f t="shared" si="138"/>
        <v>0.90680454487425</v>
      </c>
    </row>
    <row r="405" spans="1:6" ht="15" customHeight="1" x14ac:dyDescent="0.25">
      <c r="A405" s="15">
        <v>2</v>
      </c>
      <c r="B405" s="15" t="s">
        <v>274</v>
      </c>
      <c r="C405" s="20">
        <v>31</v>
      </c>
      <c r="D405" s="20">
        <v>22289</v>
      </c>
      <c r="E405" s="16">
        <v>18987</v>
      </c>
      <c r="F405" s="18">
        <f t="shared" si="138"/>
        <v>0.85185517519852838</v>
      </c>
    </row>
    <row r="406" spans="1:6" ht="15" customHeight="1" x14ac:dyDescent="0.25">
      <c r="A406" s="15">
        <v>3</v>
      </c>
      <c r="B406" s="15" t="s">
        <v>1357</v>
      </c>
      <c r="C406" s="20">
        <v>52</v>
      </c>
      <c r="D406" s="20">
        <v>40264</v>
      </c>
      <c r="E406" s="16">
        <v>33902</v>
      </c>
      <c r="F406" s="18">
        <f t="shared" si="138"/>
        <v>0.84199284720842438</v>
      </c>
    </row>
    <row r="407" spans="1:6" ht="15" customHeight="1" x14ac:dyDescent="0.25">
      <c r="A407" s="15">
        <v>4</v>
      </c>
      <c r="B407" s="15" t="s">
        <v>275</v>
      </c>
      <c r="C407" s="20">
        <v>21</v>
      </c>
      <c r="D407" s="20">
        <v>12121</v>
      </c>
      <c r="E407" s="16">
        <v>10485</v>
      </c>
      <c r="F407" s="18">
        <f t="shared" si="138"/>
        <v>0.86502763798366467</v>
      </c>
    </row>
    <row r="408" spans="1:6" ht="15" customHeight="1" x14ac:dyDescent="0.25">
      <c r="A408" s="15">
        <v>5</v>
      </c>
      <c r="B408" s="15" t="s">
        <v>247</v>
      </c>
      <c r="C408" s="20">
        <v>27</v>
      </c>
      <c r="D408" s="20">
        <v>15798</v>
      </c>
      <c r="E408" s="16">
        <v>13756</v>
      </c>
      <c r="F408" s="18">
        <f t="shared" si="138"/>
        <v>0.87074313204203069</v>
      </c>
    </row>
    <row r="409" spans="1:6" ht="15" customHeight="1" x14ac:dyDescent="0.25">
      <c r="A409" s="15">
        <v>6</v>
      </c>
      <c r="B409" s="15" t="s">
        <v>276</v>
      </c>
      <c r="C409" s="20">
        <v>51</v>
      </c>
      <c r="D409" s="20">
        <v>40641</v>
      </c>
      <c r="E409" s="16">
        <v>34105</v>
      </c>
      <c r="F409" s="18">
        <f t="shared" si="138"/>
        <v>0.83917718560074805</v>
      </c>
    </row>
    <row r="410" spans="1:6" ht="15" customHeight="1" x14ac:dyDescent="0.25">
      <c r="A410" s="15">
        <v>7</v>
      </c>
      <c r="B410" s="15" t="s">
        <v>277</v>
      </c>
      <c r="C410" s="16">
        <v>15</v>
      </c>
      <c r="D410" s="16">
        <v>11991</v>
      </c>
      <c r="E410" s="16">
        <v>10422</v>
      </c>
      <c r="F410" s="18">
        <f t="shared" si="138"/>
        <v>0.86915186389792343</v>
      </c>
    </row>
    <row r="411" spans="1:6" ht="20.25" customHeight="1" x14ac:dyDescent="0.25">
      <c r="A411" s="22"/>
      <c r="B411" s="22" t="s">
        <v>278</v>
      </c>
      <c r="C411" s="14">
        <f t="shared" ref="C411" si="141">SUM(C413+C417)</f>
        <v>202</v>
      </c>
      <c r="D411" s="14">
        <f t="shared" ref="D411:E411" si="142">SUM(D413+D417)</f>
        <v>130307</v>
      </c>
      <c r="E411" s="14">
        <f t="shared" si="142"/>
        <v>112310</v>
      </c>
      <c r="F411" s="13">
        <f t="shared" si="138"/>
        <v>0.86188769597949455</v>
      </c>
    </row>
    <row r="412" spans="1:6" ht="23.1" customHeight="1" x14ac:dyDescent="0.25">
      <c r="A412" s="22"/>
      <c r="B412" s="22" t="s">
        <v>22</v>
      </c>
      <c r="C412" s="14"/>
      <c r="D412" s="14"/>
      <c r="E412" s="14"/>
      <c r="F412" s="18"/>
    </row>
    <row r="413" spans="1:6" ht="23.1" customHeight="1" x14ac:dyDescent="0.25">
      <c r="A413" s="22"/>
      <c r="B413" s="22" t="s">
        <v>23</v>
      </c>
      <c r="C413" s="14">
        <f t="shared" ref="C413" si="143">SUM(C414:C416)</f>
        <v>100</v>
      </c>
      <c r="D413" s="14">
        <f t="shared" ref="D413:E413" si="144">SUM(D414:D416)</f>
        <v>65588</v>
      </c>
      <c r="E413" s="14">
        <f t="shared" si="144"/>
        <v>55939</v>
      </c>
      <c r="F413" s="13">
        <f t="shared" ref="F413:F422" si="145">SUM(E413/D413)</f>
        <v>0.85288467402573642</v>
      </c>
    </row>
    <row r="414" spans="1:6" ht="15" customHeight="1" x14ac:dyDescent="0.25">
      <c r="A414" s="15">
        <v>1</v>
      </c>
      <c r="B414" s="15" t="s">
        <v>1358</v>
      </c>
      <c r="C414" s="16">
        <v>31</v>
      </c>
      <c r="D414" s="16">
        <v>21631</v>
      </c>
      <c r="E414" s="16">
        <v>17715</v>
      </c>
      <c r="F414" s="18">
        <f t="shared" si="145"/>
        <v>0.81896352457121724</v>
      </c>
    </row>
    <row r="415" spans="1:6" ht="15" customHeight="1" x14ac:dyDescent="0.25">
      <c r="A415" s="15">
        <v>2</v>
      </c>
      <c r="B415" s="15" t="s">
        <v>279</v>
      </c>
      <c r="C415" s="16">
        <v>55</v>
      </c>
      <c r="D415" s="16">
        <v>32761</v>
      </c>
      <c r="E415" s="16">
        <v>28257</v>
      </c>
      <c r="F415" s="18">
        <f t="shared" si="145"/>
        <v>0.86251945911296968</v>
      </c>
    </row>
    <row r="416" spans="1:6" ht="15" customHeight="1" x14ac:dyDescent="0.25">
      <c r="A416" s="15">
        <v>3</v>
      </c>
      <c r="B416" s="15" t="s">
        <v>280</v>
      </c>
      <c r="C416" s="16">
        <v>14</v>
      </c>
      <c r="D416" s="16">
        <v>11196</v>
      </c>
      <c r="E416" s="16">
        <v>9967</v>
      </c>
      <c r="F416" s="18">
        <f t="shared" si="145"/>
        <v>0.89022865309038945</v>
      </c>
    </row>
    <row r="417" spans="1:6" ht="18.75" customHeight="1" x14ac:dyDescent="0.25">
      <c r="A417" s="22"/>
      <c r="B417" s="22" t="s">
        <v>39</v>
      </c>
      <c r="C417" s="14">
        <f t="shared" ref="C417" si="146">SUM(C418:C420)</f>
        <v>102</v>
      </c>
      <c r="D417" s="14">
        <f t="shared" ref="D417:E417" si="147">SUM(D418:D420)</f>
        <v>64719</v>
      </c>
      <c r="E417" s="14">
        <f t="shared" si="147"/>
        <v>56371</v>
      </c>
      <c r="F417" s="13">
        <f t="shared" si="145"/>
        <v>0.87101160401118682</v>
      </c>
    </row>
    <row r="418" spans="1:6" ht="15" customHeight="1" x14ac:dyDescent="0.25">
      <c r="A418" s="15">
        <v>1</v>
      </c>
      <c r="B418" s="15" t="s">
        <v>281</v>
      </c>
      <c r="C418" s="16">
        <v>30</v>
      </c>
      <c r="D418" s="16">
        <v>19431</v>
      </c>
      <c r="E418" s="16">
        <v>16524</v>
      </c>
      <c r="F418" s="18">
        <f t="shared" si="145"/>
        <v>0.85039370078740162</v>
      </c>
    </row>
    <row r="419" spans="1:6" ht="15" customHeight="1" x14ac:dyDescent="0.25">
      <c r="A419" s="15">
        <v>2</v>
      </c>
      <c r="B419" s="15" t="s">
        <v>282</v>
      </c>
      <c r="C419" s="16">
        <v>42</v>
      </c>
      <c r="D419" s="16">
        <v>26037</v>
      </c>
      <c r="E419" s="16">
        <v>23518</v>
      </c>
      <c r="F419" s="18">
        <f t="shared" si="145"/>
        <v>0.90325306294888041</v>
      </c>
    </row>
    <row r="420" spans="1:6" ht="15" customHeight="1" x14ac:dyDescent="0.25">
      <c r="A420" s="15">
        <v>3</v>
      </c>
      <c r="B420" s="15" t="s">
        <v>283</v>
      </c>
      <c r="C420" s="16">
        <v>30</v>
      </c>
      <c r="D420" s="16">
        <v>19251</v>
      </c>
      <c r="E420" s="16">
        <v>16329</v>
      </c>
      <c r="F420" s="18">
        <f t="shared" si="145"/>
        <v>0.84821567710768275</v>
      </c>
    </row>
    <row r="421" spans="1:6" ht="23.1" customHeight="1" x14ac:dyDescent="0.25">
      <c r="A421" s="140" t="s">
        <v>284</v>
      </c>
      <c r="B421" s="140"/>
      <c r="C421" s="14">
        <f>SUM(C422+C434+C450+C482+C519+C546+C568)</f>
        <v>9584</v>
      </c>
      <c r="D421" s="14">
        <f>SUM(D422+D434+D450+D482+D519+D546+D568)</f>
        <v>7699404</v>
      </c>
      <c r="E421" s="14">
        <f>SUM(E422+E434+E450+E482+E519+E546+E568)</f>
        <v>6527627</v>
      </c>
      <c r="F421" s="13">
        <f t="shared" si="145"/>
        <v>0.84780938888256807</v>
      </c>
    </row>
    <row r="422" spans="1:6" ht="23.1" customHeight="1" x14ac:dyDescent="0.25">
      <c r="A422" s="22"/>
      <c r="B422" s="22" t="s">
        <v>285</v>
      </c>
      <c r="C422" s="14">
        <f t="shared" ref="C422" si="148">SUM(C424+C429)</f>
        <v>231</v>
      </c>
      <c r="D422" s="14">
        <f t="shared" ref="D422:E422" si="149">SUM(D424+D429)</f>
        <v>157240</v>
      </c>
      <c r="E422" s="14">
        <f t="shared" si="149"/>
        <v>128993</v>
      </c>
      <c r="F422" s="13">
        <f t="shared" si="145"/>
        <v>0.82035741541592466</v>
      </c>
    </row>
    <row r="423" spans="1:6" ht="23.1" customHeight="1" x14ac:dyDescent="0.25">
      <c r="A423" s="22"/>
      <c r="B423" s="22" t="s">
        <v>22</v>
      </c>
      <c r="C423" s="14"/>
      <c r="D423" s="14"/>
      <c r="E423" s="14"/>
      <c r="F423" s="18"/>
    </row>
    <row r="424" spans="1:6" ht="23.1" customHeight="1" x14ac:dyDescent="0.25">
      <c r="A424" s="22"/>
      <c r="B424" s="22" t="s">
        <v>23</v>
      </c>
      <c r="C424" s="14">
        <f t="shared" ref="C424" si="150">SUM(C425:C428)</f>
        <v>138</v>
      </c>
      <c r="D424" s="14">
        <f t="shared" ref="D424:E424" si="151">SUM(D425:D428)</f>
        <v>97155</v>
      </c>
      <c r="E424" s="14">
        <f t="shared" si="151"/>
        <v>79482</v>
      </c>
      <c r="F424" s="13">
        <f t="shared" ref="F424:F456" si="152">SUM(E424/D424)</f>
        <v>0.81809479697390763</v>
      </c>
    </row>
    <row r="425" spans="1:6" ht="15" customHeight="1" x14ac:dyDescent="0.25">
      <c r="A425" s="15">
        <v>1</v>
      </c>
      <c r="B425" s="15" t="s">
        <v>1359</v>
      </c>
      <c r="C425" s="16">
        <v>36</v>
      </c>
      <c r="D425" s="16">
        <v>28186</v>
      </c>
      <c r="E425" s="16">
        <v>22158</v>
      </c>
      <c r="F425" s="18">
        <f t="shared" si="152"/>
        <v>0.78613496061874688</v>
      </c>
    </row>
    <row r="426" spans="1:6" ht="15" customHeight="1" x14ac:dyDescent="0.25">
      <c r="A426" s="15">
        <v>2</v>
      </c>
      <c r="B426" s="15" t="s">
        <v>286</v>
      </c>
      <c r="C426" s="16">
        <v>26</v>
      </c>
      <c r="D426" s="16">
        <v>20361</v>
      </c>
      <c r="E426" s="16">
        <v>16931</v>
      </c>
      <c r="F426" s="18">
        <f t="shared" si="152"/>
        <v>0.83154069053582835</v>
      </c>
    </row>
    <row r="427" spans="1:6" ht="15" customHeight="1" x14ac:dyDescent="0.25">
      <c r="A427" s="15">
        <v>3</v>
      </c>
      <c r="B427" s="15" t="s">
        <v>287</v>
      </c>
      <c r="C427" s="16">
        <v>47</v>
      </c>
      <c r="D427" s="16">
        <v>28409</v>
      </c>
      <c r="E427" s="16">
        <v>23636</v>
      </c>
      <c r="F427" s="18">
        <f t="shared" si="152"/>
        <v>0.83198986236755956</v>
      </c>
    </row>
    <row r="428" spans="1:6" ht="15" customHeight="1" x14ac:dyDescent="0.25">
      <c r="A428" s="15">
        <v>4</v>
      </c>
      <c r="B428" s="15" t="s">
        <v>288</v>
      </c>
      <c r="C428" s="16">
        <v>29</v>
      </c>
      <c r="D428" s="16">
        <v>20199</v>
      </c>
      <c r="E428" s="16">
        <v>16757</v>
      </c>
      <c r="F428" s="18">
        <f t="shared" si="152"/>
        <v>0.82959552453091734</v>
      </c>
    </row>
    <row r="429" spans="1:6" ht="23.1" customHeight="1" x14ac:dyDescent="0.25">
      <c r="A429" s="22"/>
      <c r="B429" s="22" t="s">
        <v>39</v>
      </c>
      <c r="C429" s="14">
        <f t="shared" ref="C429" si="153">SUM(C430:C433)</f>
        <v>93</v>
      </c>
      <c r="D429" s="14">
        <f t="shared" ref="D429:E429" si="154">SUM(D430:D433)</f>
        <v>60085</v>
      </c>
      <c r="E429" s="14">
        <f t="shared" si="154"/>
        <v>49511</v>
      </c>
      <c r="F429" s="13">
        <f t="shared" si="152"/>
        <v>0.824015977365399</v>
      </c>
    </row>
    <row r="430" spans="1:6" ht="15" customHeight="1" x14ac:dyDescent="0.25">
      <c r="A430" s="15">
        <v>1</v>
      </c>
      <c r="B430" s="15" t="s">
        <v>289</v>
      </c>
      <c r="C430" s="16">
        <v>31</v>
      </c>
      <c r="D430" s="16">
        <v>17768</v>
      </c>
      <c r="E430" s="16">
        <v>13641</v>
      </c>
      <c r="F430" s="18">
        <f t="shared" si="152"/>
        <v>0.76772850067537146</v>
      </c>
    </row>
    <row r="431" spans="1:6" ht="15" customHeight="1" x14ac:dyDescent="0.25">
      <c r="A431" s="15">
        <v>2</v>
      </c>
      <c r="B431" s="15" t="s">
        <v>290</v>
      </c>
      <c r="C431" s="16">
        <v>16</v>
      </c>
      <c r="D431" s="16">
        <v>11644</v>
      </c>
      <c r="E431" s="16">
        <v>10050</v>
      </c>
      <c r="F431" s="18">
        <f t="shared" si="152"/>
        <v>0.86310546204053595</v>
      </c>
    </row>
    <row r="432" spans="1:6" ht="15" customHeight="1" x14ac:dyDescent="0.25">
      <c r="A432" s="15">
        <v>3</v>
      </c>
      <c r="B432" s="15" t="s">
        <v>291</v>
      </c>
      <c r="C432" s="16">
        <v>13</v>
      </c>
      <c r="D432" s="16">
        <v>9270</v>
      </c>
      <c r="E432" s="16">
        <v>7949</v>
      </c>
      <c r="F432" s="18">
        <f t="shared" si="152"/>
        <v>0.85749730312837114</v>
      </c>
    </row>
    <row r="433" spans="1:6" ht="15" customHeight="1" x14ac:dyDescent="0.25">
      <c r="A433" s="15">
        <v>4</v>
      </c>
      <c r="B433" s="15" t="s">
        <v>292</v>
      </c>
      <c r="C433" s="16">
        <v>33</v>
      </c>
      <c r="D433" s="16">
        <v>21403</v>
      </c>
      <c r="E433" s="16">
        <v>17871</v>
      </c>
      <c r="F433" s="18">
        <f t="shared" si="152"/>
        <v>0.83497640517684435</v>
      </c>
    </row>
    <row r="434" spans="1:6" ht="23.1" customHeight="1" x14ac:dyDescent="0.25">
      <c r="A434" s="22"/>
      <c r="B434" s="22" t="s">
        <v>293</v>
      </c>
      <c r="C434" s="14">
        <f t="shared" ref="C434" si="155">C435+C440+C445</f>
        <v>739</v>
      </c>
      <c r="D434" s="14">
        <f t="shared" ref="D434:E434" si="156">D435+D440+D445</f>
        <v>586044</v>
      </c>
      <c r="E434" s="14">
        <f t="shared" si="156"/>
        <v>495413</v>
      </c>
      <c r="F434" s="13">
        <f t="shared" si="152"/>
        <v>0.84535120229880345</v>
      </c>
    </row>
    <row r="435" spans="1:6" ht="23.1" customHeight="1" x14ac:dyDescent="0.25">
      <c r="A435" s="22"/>
      <c r="B435" s="22" t="s">
        <v>6</v>
      </c>
      <c r="C435" s="14">
        <f t="shared" ref="C435" si="157">SUM(C436:C439)</f>
        <v>207</v>
      </c>
      <c r="D435" s="14">
        <f t="shared" ref="D435" si="158">SUM(D436:D439)</f>
        <v>163095</v>
      </c>
      <c r="E435" s="14">
        <f t="shared" ref="E435" si="159">SUM(E436:E439)</f>
        <v>136410</v>
      </c>
      <c r="F435" s="13">
        <f t="shared" si="152"/>
        <v>0.83638370274993101</v>
      </c>
    </row>
    <row r="436" spans="1:6" ht="15" customHeight="1" x14ac:dyDescent="0.25">
      <c r="A436" s="15">
        <v>1</v>
      </c>
      <c r="B436" s="15" t="s">
        <v>294</v>
      </c>
      <c r="C436" s="16">
        <v>36</v>
      </c>
      <c r="D436" s="16">
        <v>29163</v>
      </c>
      <c r="E436" s="16">
        <v>26401</v>
      </c>
      <c r="F436" s="18">
        <f t="shared" si="152"/>
        <v>0.90529095086239408</v>
      </c>
    </row>
    <row r="437" spans="1:6" ht="15" customHeight="1" x14ac:dyDescent="0.25">
      <c r="A437" s="15">
        <v>2</v>
      </c>
      <c r="B437" s="15" t="s">
        <v>295</v>
      </c>
      <c r="C437" s="16">
        <v>64</v>
      </c>
      <c r="D437" s="16">
        <v>52021</v>
      </c>
      <c r="E437" s="16">
        <v>42046</v>
      </c>
      <c r="F437" s="18">
        <f t="shared" si="152"/>
        <v>0.80825051421541305</v>
      </c>
    </row>
    <row r="438" spans="1:6" ht="15" customHeight="1" x14ac:dyDescent="0.25">
      <c r="A438" s="15">
        <v>3</v>
      </c>
      <c r="B438" s="15" t="s">
        <v>297</v>
      </c>
      <c r="C438" s="16">
        <v>67</v>
      </c>
      <c r="D438" s="16">
        <v>51331</v>
      </c>
      <c r="E438" s="16">
        <v>41870</v>
      </c>
      <c r="F438" s="18">
        <f t="shared" si="152"/>
        <v>0.8156864273051373</v>
      </c>
    </row>
    <row r="439" spans="1:6" ht="15" customHeight="1" x14ac:dyDescent="0.25">
      <c r="A439" s="15">
        <v>4</v>
      </c>
      <c r="B439" s="15" t="s">
        <v>298</v>
      </c>
      <c r="C439" s="16">
        <v>40</v>
      </c>
      <c r="D439" s="16">
        <v>30580</v>
      </c>
      <c r="E439" s="16">
        <v>26093</v>
      </c>
      <c r="F439" s="18">
        <f t="shared" si="152"/>
        <v>0.85327011118378027</v>
      </c>
    </row>
    <row r="440" spans="1:6" ht="23.1" customHeight="1" x14ac:dyDescent="0.25">
      <c r="A440" s="22"/>
      <c r="B440" s="22" t="s">
        <v>7</v>
      </c>
      <c r="C440" s="14">
        <f>SUM(C441:C444)</f>
        <v>255</v>
      </c>
      <c r="D440" s="14">
        <f>SUM(D441:D444)</f>
        <v>199306</v>
      </c>
      <c r="E440" s="14">
        <f>SUM(E441:E444)</f>
        <v>173176</v>
      </c>
      <c r="F440" s="13">
        <f t="shared" si="152"/>
        <v>0.86889506587859877</v>
      </c>
    </row>
    <row r="441" spans="1:6" ht="15" customHeight="1" x14ac:dyDescent="0.25">
      <c r="A441" s="15">
        <v>1</v>
      </c>
      <c r="B441" s="15" t="s">
        <v>300</v>
      </c>
      <c r="C441" s="16">
        <v>75</v>
      </c>
      <c r="D441" s="16">
        <v>59060</v>
      </c>
      <c r="E441" s="16">
        <v>52067</v>
      </c>
      <c r="F441" s="18">
        <f t="shared" si="152"/>
        <v>0.88159498814764647</v>
      </c>
    </row>
    <row r="442" spans="1:6" ht="15" customHeight="1" x14ac:dyDescent="0.25">
      <c r="A442" s="15">
        <v>2</v>
      </c>
      <c r="B442" s="15" t="s">
        <v>302</v>
      </c>
      <c r="C442" s="16">
        <v>58</v>
      </c>
      <c r="D442" s="16">
        <v>40292</v>
      </c>
      <c r="E442" s="16">
        <v>35020</v>
      </c>
      <c r="F442" s="18">
        <f t="shared" si="152"/>
        <v>0.86915516727886433</v>
      </c>
    </row>
    <row r="443" spans="1:6" ht="15" customHeight="1" x14ac:dyDescent="0.25">
      <c r="A443" s="15">
        <v>3</v>
      </c>
      <c r="B443" s="15" t="s">
        <v>33</v>
      </c>
      <c r="C443" s="16">
        <v>40</v>
      </c>
      <c r="D443" s="16">
        <v>29837</v>
      </c>
      <c r="E443" s="16">
        <v>25507</v>
      </c>
      <c r="F443" s="18">
        <f t="shared" si="152"/>
        <v>0.85487817139792877</v>
      </c>
    </row>
    <row r="444" spans="1:6" ht="15" customHeight="1" x14ac:dyDescent="0.25">
      <c r="A444" s="15"/>
      <c r="B444" s="24" t="s">
        <v>1360</v>
      </c>
      <c r="C444" s="16">
        <v>82</v>
      </c>
      <c r="D444" s="16">
        <v>70117</v>
      </c>
      <c r="E444" s="16">
        <v>60582</v>
      </c>
      <c r="F444" s="18">
        <f t="shared" si="152"/>
        <v>0.86401300683143889</v>
      </c>
    </row>
    <row r="445" spans="1:6" ht="23.1" customHeight="1" x14ac:dyDescent="0.25">
      <c r="A445" s="15"/>
      <c r="B445" s="22" t="s">
        <v>8</v>
      </c>
      <c r="C445" s="12">
        <f t="shared" ref="C445" si="160">SUM(C446:C449)</f>
        <v>277</v>
      </c>
      <c r="D445" s="12">
        <f t="shared" ref="D445:E445" si="161">SUM(D446:D449)</f>
        <v>223643</v>
      </c>
      <c r="E445" s="12">
        <f t="shared" si="161"/>
        <v>185827</v>
      </c>
      <c r="F445" s="13">
        <f t="shared" si="152"/>
        <v>0.83090908277925091</v>
      </c>
    </row>
    <row r="446" spans="1:6" ht="15" customHeight="1" x14ac:dyDescent="0.25">
      <c r="A446" s="15">
        <v>1</v>
      </c>
      <c r="B446" s="15" t="s">
        <v>299</v>
      </c>
      <c r="C446" s="16">
        <v>33</v>
      </c>
      <c r="D446" s="16">
        <v>25303</v>
      </c>
      <c r="E446" s="16">
        <v>21181</v>
      </c>
      <c r="F446" s="18">
        <f>SUM(E446/D446)</f>
        <v>0.83709441568193499</v>
      </c>
    </row>
    <row r="447" spans="1:6" ht="15" customHeight="1" x14ac:dyDescent="0.25">
      <c r="A447" s="15">
        <v>2</v>
      </c>
      <c r="B447" s="15" t="s">
        <v>296</v>
      </c>
      <c r="C447" s="16">
        <v>31</v>
      </c>
      <c r="D447" s="16">
        <v>24383</v>
      </c>
      <c r="E447" s="16">
        <v>21345</v>
      </c>
      <c r="F447" s="18">
        <f>SUM(E447/D447)</f>
        <v>0.87540499528359927</v>
      </c>
    </row>
    <row r="448" spans="1:6" ht="15" customHeight="1" x14ac:dyDescent="0.25">
      <c r="A448" s="15">
        <v>3</v>
      </c>
      <c r="B448" s="15" t="s">
        <v>301</v>
      </c>
      <c r="C448" s="16">
        <v>106</v>
      </c>
      <c r="D448" s="16">
        <v>95756</v>
      </c>
      <c r="E448" s="16">
        <v>79222</v>
      </c>
      <c r="F448" s="18">
        <f>SUM(E448/D448)</f>
        <v>0.82733196875391624</v>
      </c>
    </row>
    <row r="449" spans="1:6" ht="15" customHeight="1" x14ac:dyDescent="0.25">
      <c r="A449" s="15">
        <v>4</v>
      </c>
      <c r="B449" s="15" t="s">
        <v>1282</v>
      </c>
      <c r="C449" s="16">
        <v>107</v>
      </c>
      <c r="D449" s="16">
        <v>78201</v>
      </c>
      <c r="E449" s="16">
        <v>64079</v>
      </c>
      <c r="F449" s="18">
        <f>SUM(E449/D449)</f>
        <v>0.81941407398882371</v>
      </c>
    </row>
    <row r="450" spans="1:6" ht="23.1" customHeight="1" x14ac:dyDescent="0.25">
      <c r="A450" s="22"/>
      <c r="B450" s="22" t="s">
        <v>303</v>
      </c>
      <c r="C450" s="14">
        <f>SUM(C451+C458+C462+C467+C471+C476+C481)</f>
        <v>2551</v>
      </c>
      <c r="D450" s="14">
        <f>SUM(D451+D458+D462+D467+D471+D476+D481)</f>
        <v>2173026</v>
      </c>
      <c r="E450" s="14">
        <f>SUM(E451+E458+E462+E467+E471+E476+E481)</f>
        <v>1847816</v>
      </c>
      <c r="F450" s="13">
        <f t="shared" si="152"/>
        <v>0.85034233368583712</v>
      </c>
    </row>
    <row r="451" spans="1:6" ht="23.1" customHeight="1" x14ac:dyDescent="0.25">
      <c r="A451" s="22"/>
      <c r="B451" s="22" t="s">
        <v>6</v>
      </c>
      <c r="C451" s="14">
        <f t="shared" ref="C451" si="162">SUM(C452:C457)</f>
        <v>542</v>
      </c>
      <c r="D451" s="14">
        <f t="shared" ref="D451" si="163">SUM(D452:D457)</f>
        <v>449028</v>
      </c>
      <c r="E451" s="14">
        <f t="shared" ref="E451" si="164">SUM(E452:E457)</f>
        <v>381907</v>
      </c>
      <c r="F451" s="13">
        <f t="shared" si="152"/>
        <v>0.85051934400527363</v>
      </c>
    </row>
    <row r="452" spans="1:6" ht="15" customHeight="1" x14ac:dyDescent="0.25">
      <c r="A452" s="15">
        <v>1</v>
      </c>
      <c r="B452" s="15" t="s">
        <v>304</v>
      </c>
      <c r="C452" s="26">
        <v>65</v>
      </c>
      <c r="D452" s="26">
        <v>54078</v>
      </c>
      <c r="E452" s="16">
        <v>47563</v>
      </c>
      <c r="F452" s="18">
        <f t="shared" si="152"/>
        <v>0.8795258700395725</v>
      </c>
    </row>
    <row r="453" spans="1:6" ht="15" customHeight="1" x14ac:dyDescent="0.25">
      <c r="A453" s="15">
        <v>2</v>
      </c>
      <c r="B453" s="15" t="s">
        <v>305</v>
      </c>
      <c r="C453" s="26">
        <v>87</v>
      </c>
      <c r="D453" s="26">
        <v>72324</v>
      </c>
      <c r="E453" s="16">
        <v>61921</v>
      </c>
      <c r="F453" s="18">
        <f t="shared" si="152"/>
        <v>0.85616116365245287</v>
      </c>
    </row>
    <row r="454" spans="1:6" ht="15" customHeight="1" x14ac:dyDescent="0.25">
      <c r="A454" s="15">
        <v>3</v>
      </c>
      <c r="B454" s="15" t="s">
        <v>306</v>
      </c>
      <c r="C454" s="26">
        <v>96</v>
      </c>
      <c r="D454" s="26">
        <v>80335</v>
      </c>
      <c r="E454" s="16">
        <v>67311</v>
      </c>
      <c r="F454" s="18">
        <f t="shared" si="152"/>
        <v>0.83787888218086759</v>
      </c>
    </row>
    <row r="455" spans="1:6" ht="15" customHeight="1" x14ac:dyDescent="0.25">
      <c r="A455" s="15">
        <v>4</v>
      </c>
      <c r="B455" s="15" t="s">
        <v>307</v>
      </c>
      <c r="C455" s="26">
        <v>48</v>
      </c>
      <c r="D455" s="26">
        <v>38237</v>
      </c>
      <c r="E455" s="16">
        <v>31398</v>
      </c>
      <c r="F455" s="18">
        <f t="shared" si="152"/>
        <v>0.82114182598007168</v>
      </c>
    </row>
    <row r="456" spans="1:6" ht="15" customHeight="1" x14ac:dyDescent="0.25">
      <c r="A456" s="15">
        <v>5</v>
      </c>
      <c r="B456" s="15" t="s">
        <v>308</v>
      </c>
      <c r="C456" s="26">
        <v>81</v>
      </c>
      <c r="D456" s="26">
        <v>68392</v>
      </c>
      <c r="E456" s="16">
        <v>59786</v>
      </c>
      <c r="F456" s="18">
        <f t="shared" si="152"/>
        <v>0.87416656918937885</v>
      </c>
    </row>
    <row r="457" spans="1:6" ht="15" customHeight="1" x14ac:dyDescent="0.25">
      <c r="A457" s="15"/>
      <c r="B457" s="24" t="s">
        <v>1361</v>
      </c>
      <c r="C457" s="26">
        <v>165</v>
      </c>
      <c r="D457" s="26">
        <v>135662</v>
      </c>
      <c r="E457" s="17">
        <v>113928</v>
      </c>
      <c r="F457" s="18">
        <f t="shared" ref="F457:F471" si="165">SUM(E457/D457)</f>
        <v>0.83979301499314474</v>
      </c>
    </row>
    <row r="458" spans="1:6" ht="23.1" customHeight="1" x14ac:dyDescent="0.25">
      <c r="A458" s="22"/>
      <c r="B458" s="22" t="s">
        <v>7</v>
      </c>
      <c r="C458" s="14">
        <f>SUM(C459:C461)</f>
        <v>272</v>
      </c>
      <c r="D458" s="14">
        <f t="shared" ref="D458:E458" si="166">SUM(D459:D461)</f>
        <v>236272</v>
      </c>
      <c r="E458" s="14">
        <f t="shared" si="166"/>
        <v>199469</v>
      </c>
      <c r="F458" s="13">
        <f t="shared" si="165"/>
        <v>0.84423461095686325</v>
      </c>
    </row>
    <row r="459" spans="1:6" ht="15" customHeight="1" x14ac:dyDescent="0.25">
      <c r="A459" s="15">
        <v>1</v>
      </c>
      <c r="B459" s="15" t="s">
        <v>310</v>
      </c>
      <c r="C459" s="26">
        <v>59</v>
      </c>
      <c r="D459" s="26">
        <v>50590</v>
      </c>
      <c r="E459" s="16">
        <v>43928</v>
      </c>
      <c r="F459" s="18">
        <f t="shared" si="165"/>
        <v>0.8683138960268828</v>
      </c>
    </row>
    <row r="460" spans="1:6" ht="15" customHeight="1" x14ac:dyDescent="0.25">
      <c r="A460" s="15">
        <v>2</v>
      </c>
      <c r="B460" s="15" t="s">
        <v>313</v>
      </c>
      <c r="C460" s="26">
        <v>82</v>
      </c>
      <c r="D460" s="26">
        <v>70843</v>
      </c>
      <c r="E460" s="16">
        <v>57454</v>
      </c>
      <c r="F460" s="18">
        <f t="shared" si="165"/>
        <v>0.81100461584066175</v>
      </c>
    </row>
    <row r="461" spans="1:6" ht="15" customHeight="1" x14ac:dyDescent="0.25">
      <c r="A461" s="15"/>
      <c r="B461" s="24" t="s">
        <v>1605</v>
      </c>
      <c r="C461" s="26">
        <v>131</v>
      </c>
      <c r="D461" s="26">
        <v>114839</v>
      </c>
      <c r="E461" s="16">
        <v>98087</v>
      </c>
      <c r="F461" s="18">
        <f>SUM(E461/D461)</f>
        <v>0.85412621147867884</v>
      </c>
    </row>
    <row r="462" spans="1:6" ht="23.1" customHeight="1" x14ac:dyDescent="0.25">
      <c r="A462" s="22"/>
      <c r="B462" s="22" t="s">
        <v>8</v>
      </c>
      <c r="C462" s="14">
        <f>SUM(C463:C466)</f>
        <v>357</v>
      </c>
      <c r="D462" s="14">
        <f>SUM(D463:D466)</f>
        <v>286844</v>
      </c>
      <c r="E462" s="14">
        <f>SUM(E463:E466)</f>
        <v>253869</v>
      </c>
      <c r="F462" s="13">
        <f t="shared" si="165"/>
        <v>0.88504204375897699</v>
      </c>
    </row>
    <row r="463" spans="1:6" ht="15" customHeight="1" x14ac:dyDescent="0.25">
      <c r="A463" s="15">
        <v>1</v>
      </c>
      <c r="B463" s="15" t="s">
        <v>315</v>
      </c>
      <c r="C463" s="26">
        <v>35</v>
      </c>
      <c r="D463" s="26">
        <v>28375</v>
      </c>
      <c r="E463" s="16">
        <v>23817</v>
      </c>
      <c r="F463" s="18">
        <f t="shared" si="165"/>
        <v>0.83936563876651982</v>
      </c>
    </row>
    <row r="464" spans="1:6" ht="15" customHeight="1" x14ac:dyDescent="0.25">
      <c r="A464" s="15">
        <v>2</v>
      </c>
      <c r="B464" s="15" t="s">
        <v>123</v>
      </c>
      <c r="C464" s="26">
        <v>104</v>
      </c>
      <c r="D464" s="26">
        <v>85054</v>
      </c>
      <c r="E464" s="16">
        <v>77565</v>
      </c>
      <c r="F464" s="18">
        <f t="shared" si="165"/>
        <v>0.91195005525901196</v>
      </c>
    </row>
    <row r="465" spans="1:6" ht="15" customHeight="1" x14ac:dyDescent="0.25">
      <c r="A465" s="15">
        <v>3</v>
      </c>
      <c r="B465" s="15" t="s">
        <v>317</v>
      </c>
      <c r="C465" s="26">
        <v>134</v>
      </c>
      <c r="D465" s="26">
        <v>105167</v>
      </c>
      <c r="E465" s="16">
        <v>92325</v>
      </c>
      <c r="F465" s="18">
        <f t="shared" si="165"/>
        <v>0.87788945201441515</v>
      </c>
    </row>
    <row r="466" spans="1:6" ht="15" customHeight="1" x14ac:dyDescent="0.25">
      <c r="A466" s="15">
        <v>4</v>
      </c>
      <c r="B466" s="15" t="s">
        <v>318</v>
      </c>
      <c r="C466" s="26">
        <v>84</v>
      </c>
      <c r="D466" s="26">
        <v>68248</v>
      </c>
      <c r="E466" s="16">
        <v>60162</v>
      </c>
      <c r="F466" s="18">
        <f t="shared" si="165"/>
        <v>0.88152033759231041</v>
      </c>
    </row>
    <row r="467" spans="1:6" ht="23.1" customHeight="1" x14ac:dyDescent="0.25">
      <c r="A467" s="22"/>
      <c r="B467" s="22" t="s">
        <v>9</v>
      </c>
      <c r="C467" s="14">
        <f t="shared" ref="C467" si="167">SUM(C468:C470)</f>
        <v>326</v>
      </c>
      <c r="D467" s="14">
        <f t="shared" ref="D467:E467" si="168">SUM(D468:D470)</f>
        <v>287554</v>
      </c>
      <c r="E467" s="14">
        <f t="shared" si="168"/>
        <v>246291</v>
      </c>
      <c r="F467" s="13">
        <f t="shared" si="165"/>
        <v>0.85650347413007644</v>
      </c>
    </row>
    <row r="468" spans="1:6" ht="15" customHeight="1" x14ac:dyDescent="0.25">
      <c r="A468" s="15">
        <v>1</v>
      </c>
      <c r="B468" s="15" t="s">
        <v>319</v>
      </c>
      <c r="C468" s="26">
        <v>132</v>
      </c>
      <c r="D468" s="26">
        <v>119030</v>
      </c>
      <c r="E468" s="16">
        <v>102457</v>
      </c>
      <c r="F468" s="18">
        <f t="shared" si="165"/>
        <v>0.86076619339662275</v>
      </c>
    </row>
    <row r="469" spans="1:6" ht="15" customHeight="1" x14ac:dyDescent="0.25">
      <c r="A469" s="15">
        <v>2</v>
      </c>
      <c r="B469" s="15" t="s">
        <v>320</v>
      </c>
      <c r="C469" s="26">
        <v>39</v>
      </c>
      <c r="D469" s="26">
        <v>34184</v>
      </c>
      <c r="E469" s="16">
        <v>28074</v>
      </c>
      <c r="F469" s="18">
        <f t="shared" si="165"/>
        <v>0.82126140884624388</v>
      </c>
    </row>
    <row r="470" spans="1:6" ht="15" customHeight="1" x14ac:dyDescent="0.25">
      <c r="A470" s="15"/>
      <c r="B470" s="24" t="s">
        <v>321</v>
      </c>
      <c r="C470" s="26">
        <v>155</v>
      </c>
      <c r="D470" s="26">
        <v>134340</v>
      </c>
      <c r="E470" s="16">
        <v>115760</v>
      </c>
      <c r="F470" s="18">
        <f t="shared" si="165"/>
        <v>0.86169420872413283</v>
      </c>
    </row>
    <row r="471" spans="1:6" ht="23.1" customHeight="1" x14ac:dyDescent="0.25">
      <c r="A471" s="15"/>
      <c r="B471" s="22" t="s">
        <v>10</v>
      </c>
      <c r="C471" s="12">
        <f t="shared" ref="C471" si="169">SUM(C472:C475)</f>
        <v>370</v>
      </c>
      <c r="D471" s="12">
        <f t="shared" ref="D471:E471" si="170">SUM(D472:D475)</f>
        <v>317655</v>
      </c>
      <c r="E471" s="12">
        <f t="shared" si="170"/>
        <v>267271</v>
      </c>
      <c r="F471" s="13">
        <f t="shared" si="165"/>
        <v>0.84138766901197837</v>
      </c>
    </row>
    <row r="472" spans="1:6" ht="15" customHeight="1" x14ac:dyDescent="0.25">
      <c r="A472" s="15">
        <v>1</v>
      </c>
      <c r="B472" s="15" t="s">
        <v>309</v>
      </c>
      <c r="C472" s="26">
        <v>95</v>
      </c>
      <c r="D472" s="26">
        <v>80501</v>
      </c>
      <c r="E472" s="16">
        <v>64389</v>
      </c>
      <c r="F472" s="18">
        <f t="shared" ref="F472:F479" si="171">SUM(E472/D472)</f>
        <v>0.79985341796996312</v>
      </c>
    </row>
    <row r="473" spans="1:6" ht="15" customHeight="1" x14ac:dyDescent="0.25">
      <c r="A473" s="15">
        <v>2</v>
      </c>
      <c r="B473" s="15" t="s">
        <v>311</v>
      </c>
      <c r="C473" s="26">
        <v>89</v>
      </c>
      <c r="D473" s="26">
        <v>78751</v>
      </c>
      <c r="E473" s="16">
        <v>63940</v>
      </c>
      <c r="F473" s="18">
        <f t="shared" si="171"/>
        <v>0.81192619776256814</v>
      </c>
    </row>
    <row r="474" spans="1:6" ht="15" customHeight="1" x14ac:dyDescent="0.25">
      <c r="A474" s="15">
        <v>3</v>
      </c>
      <c r="B474" s="15" t="s">
        <v>1362</v>
      </c>
      <c r="C474" s="26">
        <v>65</v>
      </c>
      <c r="D474" s="26">
        <v>55008</v>
      </c>
      <c r="E474" s="16">
        <v>48673</v>
      </c>
      <c r="F474" s="18">
        <f t="shared" si="171"/>
        <v>0.88483493310063988</v>
      </c>
    </row>
    <row r="475" spans="1:6" ht="15" customHeight="1" x14ac:dyDescent="0.25">
      <c r="A475" s="15">
        <v>4</v>
      </c>
      <c r="B475" s="15" t="s">
        <v>312</v>
      </c>
      <c r="C475" s="26">
        <v>121</v>
      </c>
      <c r="D475" s="26">
        <v>103395</v>
      </c>
      <c r="E475" s="16">
        <v>90269</v>
      </c>
      <c r="F475" s="18">
        <f t="shared" si="171"/>
        <v>0.87304995405967412</v>
      </c>
    </row>
    <row r="476" spans="1:6" ht="23.1" customHeight="1" x14ac:dyDescent="0.25">
      <c r="A476" s="15"/>
      <c r="B476" s="22" t="s">
        <v>11</v>
      </c>
      <c r="C476" s="12">
        <f t="shared" ref="C476" si="172">SUM(C477:C479)</f>
        <v>326</v>
      </c>
      <c r="D476" s="12">
        <f t="shared" ref="D476:E476" si="173">SUM(D477:D479)</f>
        <v>285359</v>
      </c>
      <c r="E476" s="12">
        <f t="shared" si="173"/>
        <v>242954</v>
      </c>
      <c r="F476" s="13">
        <f t="shared" si="171"/>
        <v>0.85139771305618539</v>
      </c>
    </row>
    <row r="477" spans="1:6" ht="15" customHeight="1" x14ac:dyDescent="0.25">
      <c r="A477" s="15">
        <v>1</v>
      </c>
      <c r="B477" s="15" t="s">
        <v>314</v>
      </c>
      <c r="C477" s="26">
        <v>54</v>
      </c>
      <c r="D477" s="26">
        <v>43892</v>
      </c>
      <c r="E477" s="16">
        <v>38246</v>
      </c>
      <c r="F477" s="18">
        <f t="shared" si="171"/>
        <v>0.87136608037911234</v>
      </c>
    </row>
    <row r="478" spans="1:6" ht="15" customHeight="1" x14ac:dyDescent="0.25">
      <c r="A478" s="15">
        <v>2</v>
      </c>
      <c r="B478" s="15" t="s">
        <v>316</v>
      </c>
      <c r="C478" s="26">
        <v>95</v>
      </c>
      <c r="D478" s="26">
        <v>82038</v>
      </c>
      <c r="E478" s="16">
        <v>68053</v>
      </c>
      <c r="F478" s="18">
        <f t="shared" si="171"/>
        <v>0.82953021770399082</v>
      </c>
    </row>
    <row r="479" spans="1:6" ht="15" customHeight="1" x14ac:dyDescent="0.25">
      <c r="A479" s="15">
        <v>3</v>
      </c>
      <c r="B479" s="15" t="s">
        <v>140</v>
      </c>
      <c r="C479" s="26">
        <v>177</v>
      </c>
      <c r="D479" s="26">
        <v>159429</v>
      </c>
      <c r="E479" s="16">
        <v>136655</v>
      </c>
      <c r="F479" s="18">
        <f t="shared" si="171"/>
        <v>0.85715271374718527</v>
      </c>
    </row>
    <row r="480" spans="1:6" ht="23.1" customHeight="1" x14ac:dyDescent="0.25">
      <c r="A480" s="22"/>
      <c r="B480" s="22" t="s">
        <v>22</v>
      </c>
      <c r="C480" s="21"/>
      <c r="D480" s="21"/>
      <c r="E480" s="21"/>
      <c r="F480" s="18"/>
    </row>
    <row r="481" spans="1:6" ht="15" customHeight="1" x14ac:dyDescent="0.25">
      <c r="A481" s="15"/>
      <c r="B481" s="24" t="s">
        <v>1363</v>
      </c>
      <c r="C481" s="26">
        <v>358</v>
      </c>
      <c r="D481" s="26">
        <v>310314</v>
      </c>
      <c r="E481" s="16">
        <v>256055</v>
      </c>
      <c r="F481" s="18">
        <f t="shared" ref="F481:F502" si="174">SUM(E481/D481)</f>
        <v>0.82514807581997585</v>
      </c>
    </row>
    <row r="482" spans="1:6" ht="23.1" customHeight="1" x14ac:dyDescent="0.25">
      <c r="A482" s="22"/>
      <c r="B482" s="22" t="s">
        <v>322</v>
      </c>
      <c r="C482" s="14">
        <f t="shared" ref="C482" si="175">SUM(C483+C493+C502+C510)</f>
        <v>2080</v>
      </c>
      <c r="D482" s="14">
        <f t="shared" ref="D482:E482" si="176">SUM(D483+D493+D502+D510)</f>
        <v>1620166</v>
      </c>
      <c r="E482" s="14">
        <f t="shared" si="176"/>
        <v>1349950</v>
      </c>
      <c r="F482" s="13">
        <f t="shared" si="174"/>
        <v>0.83321709010064404</v>
      </c>
    </row>
    <row r="483" spans="1:6" ht="23.1" customHeight="1" x14ac:dyDescent="0.25">
      <c r="A483" s="22"/>
      <c r="B483" s="22" t="s">
        <v>6</v>
      </c>
      <c r="C483" s="14">
        <f t="shared" ref="C483" si="177">SUM(C484:C492)</f>
        <v>546</v>
      </c>
      <c r="D483" s="14">
        <f t="shared" ref="D483:E483" si="178">SUM(D484:D492)</f>
        <v>400221</v>
      </c>
      <c r="E483" s="14">
        <f t="shared" si="178"/>
        <v>325530</v>
      </c>
      <c r="F483" s="13">
        <f t="shared" si="174"/>
        <v>0.81337560997548852</v>
      </c>
    </row>
    <row r="484" spans="1:6" ht="15" customHeight="1" x14ac:dyDescent="0.25">
      <c r="A484" s="15">
        <v>1</v>
      </c>
      <c r="B484" s="15" t="s">
        <v>323</v>
      </c>
      <c r="C484" s="26">
        <v>63</v>
      </c>
      <c r="D484" s="26">
        <v>51139</v>
      </c>
      <c r="E484" s="16">
        <v>44805</v>
      </c>
      <c r="F484" s="18">
        <f t="shared" si="174"/>
        <v>0.87614149670505881</v>
      </c>
    </row>
    <row r="485" spans="1:6" ht="15" customHeight="1" x14ac:dyDescent="0.25">
      <c r="A485" s="15">
        <v>2</v>
      </c>
      <c r="B485" s="15" t="s">
        <v>324</v>
      </c>
      <c r="C485" s="26">
        <v>68</v>
      </c>
      <c r="D485" s="26">
        <v>44533</v>
      </c>
      <c r="E485" s="16">
        <v>38731</v>
      </c>
      <c r="F485" s="18">
        <f t="shared" si="174"/>
        <v>0.86971459367210835</v>
      </c>
    </row>
    <row r="486" spans="1:6" ht="15" customHeight="1" x14ac:dyDescent="0.25">
      <c r="A486" s="15">
        <v>3</v>
      </c>
      <c r="B486" s="15" t="s">
        <v>325</v>
      </c>
      <c r="C486" s="26">
        <v>113</v>
      </c>
      <c r="D486" s="26">
        <v>81532</v>
      </c>
      <c r="E486" s="16">
        <v>67736</v>
      </c>
      <c r="F486" s="18">
        <f t="shared" si="174"/>
        <v>0.83079036451945254</v>
      </c>
    </row>
    <row r="487" spans="1:6" ht="15" customHeight="1" x14ac:dyDescent="0.25">
      <c r="A487" s="15">
        <v>4</v>
      </c>
      <c r="B487" s="15" t="s">
        <v>326</v>
      </c>
      <c r="C487" s="26">
        <v>22</v>
      </c>
      <c r="D487" s="26">
        <v>18034</v>
      </c>
      <c r="E487" s="16">
        <v>14127</v>
      </c>
      <c r="F487" s="18">
        <f t="shared" si="174"/>
        <v>0.78335366529887984</v>
      </c>
    </row>
    <row r="488" spans="1:6" ht="15" customHeight="1" x14ac:dyDescent="0.25">
      <c r="A488" s="15">
        <v>5</v>
      </c>
      <c r="B488" s="15" t="s">
        <v>327</v>
      </c>
      <c r="C488" s="26">
        <v>23</v>
      </c>
      <c r="D488" s="26">
        <v>11606</v>
      </c>
      <c r="E488" s="16">
        <v>10145</v>
      </c>
      <c r="F488" s="18">
        <f t="shared" si="174"/>
        <v>0.87411683611924862</v>
      </c>
    </row>
    <row r="489" spans="1:6" ht="15" customHeight="1" x14ac:dyDescent="0.25">
      <c r="A489" s="15">
        <v>6</v>
      </c>
      <c r="B489" s="15" t="s">
        <v>247</v>
      </c>
      <c r="C489" s="26">
        <v>31</v>
      </c>
      <c r="D489" s="26">
        <v>23438</v>
      </c>
      <c r="E489" s="16">
        <v>19118</v>
      </c>
      <c r="F489" s="18">
        <f t="shared" si="174"/>
        <v>0.81568393207611567</v>
      </c>
    </row>
    <row r="490" spans="1:6" ht="15" customHeight="1" x14ac:dyDescent="0.25">
      <c r="A490" s="15">
        <v>7</v>
      </c>
      <c r="B490" s="15" t="s">
        <v>126</v>
      </c>
      <c r="C490" s="26">
        <v>55</v>
      </c>
      <c r="D490" s="26">
        <v>39637</v>
      </c>
      <c r="E490" s="16">
        <v>30199</v>
      </c>
      <c r="F490" s="18">
        <f t="shared" si="174"/>
        <v>0.76188914398163332</v>
      </c>
    </row>
    <row r="491" spans="1:6" ht="15" customHeight="1" x14ac:dyDescent="0.25">
      <c r="A491" s="15">
        <v>8</v>
      </c>
      <c r="B491" s="15" t="s">
        <v>328</v>
      </c>
      <c r="C491" s="17">
        <v>129</v>
      </c>
      <c r="D491" s="17">
        <v>98488</v>
      </c>
      <c r="E491" s="16">
        <v>73355</v>
      </c>
      <c r="F491" s="18">
        <f t="shared" si="174"/>
        <v>0.74481155064576399</v>
      </c>
    </row>
    <row r="492" spans="1:6" ht="15" customHeight="1" x14ac:dyDescent="0.25">
      <c r="A492" s="15">
        <v>9</v>
      </c>
      <c r="B492" s="15" t="s">
        <v>329</v>
      </c>
      <c r="C492" s="26">
        <v>42</v>
      </c>
      <c r="D492" s="26">
        <v>31814</v>
      </c>
      <c r="E492" s="16">
        <v>27314</v>
      </c>
      <c r="F492" s="18">
        <f t="shared" si="174"/>
        <v>0.8585528383730433</v>
      </c>
    </row>
    <row r="493" spans="1:6" ht="23.1" customHeight="1" x14ac:dyDescent="0.25">
      <c r="A493" s="22"/>
      <c r="B493" s="22" t="s">
        <v>7</v>
      </c>
      <c r="C493" s="14">
        <f t="shared" ref="C493" si="179">SUM(C494:C501)</f>
        <v>438</v>
      </c>
      <c r="D493" s="14">
        <f t="shared" ref="D493:E493" si="180">SUM(D494:D501)</f>
        <v>329147</v>
      </c>
      <c r="E493" s="14">
        <f t="shared" si="180"/>
        <v>276585</v>
      </c>
      <c r="F493" s="13">
        <f t="shared" si="174"/>
        <v>0.84030843361780605</v>
      </c>
    </row>
    <row r="494" spans="1:6" ht="15" customHeight="1" x14ac:dyDescent="0.25">
      <c r="A494" s="15">
        <v>1</v>
      </c>
      <c r="B494" s="15" t="s">
        <v>330</v>
      </c>
      <c r="C494" s="26">
        <v>40</v>
      </c>
      <c r="D494" s="26">
        <v>26731</v>
      </c>
      <c r="E494" s="16">
        <v>22240</v>
      </c>
      <c r="F494" s="18">
        <f t="shared" si="174"/>
        <v>0.83199281732819574</v>
      </c>
    </row>
    <row r="495" spans="1:6" ht="15" customHeight="1" x14ac:dyDescent="0.25">
      <c r="A495" s="15">
        <v>2</v>
      </c>
      <c r="B495" s="15" t="s">
        <v>331</v>
      </c>
      <c r="C495" s="26">
        <v>36</v>
      </c>
      <c r="D495" s="26">
        <v>27254</v>
      </c>
      <c r="E495" s="16">
        <v>23782</v>
      </c>
      <c r="F495" s="18">
        <f t="shared" si="174"/>
        <v>0.8726058560211345</v>
      </c>
    </row>
    <row r="496" spans="1:6" ht="15" customHeight="1" x14ac:dyDescent="0.25">
      <c r="A496" s="15">
        <v>3</v>
      </c>
      <c r="B496" s="15" t="s">
        <v>332</v>
      </c>
      <c r="C496" s="26">
        <v>45</v>
      </c>
      <c r="D496" s="26">
        <v>31160</v>
      </c>
      <c r="E496" s="16">
        <v>27051</v>
      </c>
      <c r="F496" s="18">
        <f t="shared" si="174"/>
        <v>0.86813222079589214</v>
      </c>
    </row>
    <row r="497" spans="1:6" ht="15" customHeight="1" x14ac:dyDescent="0.25">
      <c r="A497" s="15">
        <v>4</v>
      </c>
      <c r="B497" s="15" t="s">
        <v>333</v>
      </c>
      <c r="C497" s="26">
        <v>37</v>
      </c>
      <c r="D497" s="26">
        <v>28627</v>
      </c>
      <c r="E497" s="16">
        <v>20902</v>
      </c>
      <c r="F497" s="18">
        <f t="shared" si="174"/>
        <v>0.73014985852516856</v>
      </c>
    </row>
    <row r="498" spans="1:6" ht="15" customHeight="1" x14ac:dyDescent="0.25">
      <c r="A498" s="15">
        <v>5</v>
      </c>
      <c r="B498" s="15" t="s">
        <v>227</v>
      </c>
      <c r="C498" s="26">
        <v>51</v>
      </c>
      <c r="D498" s="26">
        <v>37002</v>
      </c>
      <c r="E498" s="16">
        <v>31120</v>
      </c>
      <c r="F498" s="18">
        <f t="shared" si="174"/>
        <v>0.84103561969623264</v>
      </c>
    </row>
    <row r="499" spans="1:6" ht="15" customHeight="1" x14ac:dyDescent="0.25">
      <c r="A499" s="15">
        <v>6</v>
      </c>
      <c r="B499" s="15" t="s">
        <v>334</v>
      </c>
      <c r="C499" s="26">
        <v>31</v>
      </c>
      <c r="D499" s="26">
        <v>17663</v>
      </c>
      <c r="E499" s="16">
        <v>15124</v>
      </c>
      <c r="F499" s="18">
        <f t="shared" si="174"/>
        <v>0.85625318462322364</v>
      </c>
    </row>
    <row r="500" spans="1:6" ht="15" customHeight="1" x14ac:dyDescent="0.25">
      <c r="A500" s="15"/>
      <c r="B500" s="24" t="s">
        <v>335</v>
      </c>
      <c r="C500" s="26">
        <v>123</v>
      </c>
      <c r="D500" s="26">
        <v>103753</v>
      </c>
      <c r="E500" s="16">
        <v>88654</v>
      </c>
      <c r="F500" s="18">
        <f t="shared" si="174"/>
        <v>0.85447167792738521</v>
      </c>
    </row>
    <row r="501" spans="1:6" ht="15" customHeight="1" x14ac:dyDescent="0.25">
      <c r="A501" s="15"/>
      <c r="B501" s="24" t="s">
        <v>336</v>
      </c>
      <c r="C501" s="26">
        <v>75</v>
      </c>
      <c r="D501" s="26">
        <v>56957</v>
      </c>
      <c r="E501" s="16">
        <v>47712</v>
      </c>
      <c r="F501" s="18">
        <f t="shared" si="174"/>
        <v>0.83768456906087052</v>
      </c>
    </row>
    <row r="502" spans="1:6" ht="23.1" customHeight="1" x14ac:dyDescent="0.25">
      <c r="A502" s="22"/>
      <c r="B502" s="22" t="s">
        <v>8</v>
      </c>
      <c r="C502" s="14">
        <f t="shared" ref="C502" si="181">SUM(C503:C509)</f>
        <v>590</v>
      </c>
      <c r="D502" s="14">
        <f t="shared" ref="D502:E502" si="182">SUM(D503:D509)</f>
        <v>466379</v>
      </c>
      <c r="E502" s="14">
        <f t="shared" si="182"/>
        <v>388875</v>
      </c>
      <c r="F502" s="13">
        <f t="shared" si="174"/>
        <v>0.83381756039615851</v>
      </c>
    </row>
    <row r="503" spans="1:6" ht="15" customHeight="1" x14ac:dyDescent="0.25">
      <c r="A503" s="15">
        <v>1</v>
      </c>
      <c r="B503" s="15" t="s">
        <v>337</v>
      </c>
      <c r="C503" s="26">
        <v>64</v>
      </c>
      <c r="D503" s="26">
        <v>48923</v>
      </c>
      <c r="E503" s="16">
        <v>43598</v>
      </c>
      <c r="F503" s="18">
        <f t="shared" ref="F503:F534" si="183">SUM(E503/D503)</f>
        <v>0.89115548923819066</v>
      </c>
    </row>
    <row r="504" spans="1:6" ht="15" customHeight="1" x14ac:dyDescent="0.25">
      <c r="A504" s="15">
        <v>2</v>
      </c>
      <c r="B504" s="15" t="s">
        <v>1538</v>
      </c>
      <c r="C504" s="26">
        <v>34</v>
      </c>
      <c r="D504" s="26">
        <v>25705</v>
      </c>
      <c r="E504" s="16">
        <v>22671</v>
      </c>
      <c r="F504" s="18">
        <f t="shared" si="183"/>
        <v>0.88196848862089083</v>
      </c>
    </row>
    <row r="505" spans="1:6" ht="15" customHeight="1" x14ac:dyDescent="0.25">
      <c r="A505" s="15">
        <v>3</v>
      </c>
      <c r="B505" s="15" t="s">
        <v>338</v>
      </c>
      <c r="C505" s="26">
        <v>40</v>
      </c>
      <c r="D505" s="26">
        <v>31136</v>
      </c>
      <c r="E505" s="16">
        <v>28221</v>
      </c>
      <c r="F505" s="18">
        <f t="shared" si="183"/>
        <v>0.90637846865364846</v>
      </c>
    </row>
    <row r="506" spans="1:6" ht="15" customHeight="1" x14ac:dyDescent="0.25">
      <c r="A506" s="15">
        <v>4</v>
      </c>
      <c r="B506" s="15" t="s">
        <v>339</v>
      </c>
      <c r="C506" s="26">
        <v>36</v>
      </c>
      <c r="D506" s="26">
        <v>27339</v>
      </c>
      <c r="E506" s="16">
        <v>23012</v>
      </c>
      <c r="F506" s="18">
        <f t="shared" si="183"/>
        <v>0.84172793445261351</v>
      </c>
    </row>
    <row r="507" spans="1:6" ht="15" customHeight="1" x14ac:dyDescent="0.25">
      <c r="A507" s="15">
        <v>5</v>
      </c>
      <c r="B507" s="15" t="s">
        <v>340</v>
      </c>
      <c r="C507" s="26">
        <v>72</v>
      </c>
      <c r="D507" s="26">
        <v>54240</v>
      </c>
      <c r="E507" s="16">
        <v>46694</v>
      </c>
      <c r="F507" s="18">
        <f t="shared" si="183"/>
        <v>0.86087758112094392</v>
      </c>
    </row>
    <row r="508" spans="1:6" ht="15" customHeight="1" x14ac:dyDescent="0.25">
      <c r="A508" s="15"/>
      <c r="B508" s="24" t="s">
        <v>1364</v>
      </c>
      <c r="C508" s="26">
        <v>296</v>
      </c>
      <c r="D508" s="26">
        <v>244298</v>
      </c>
      <c r="E508" s="16">
        <v>196799</v>
      </c>
      <c r="F508" s="18">
        <f t="shared" si="183"/>
        <v>0.80556942750247651</v>
      </c>
    </row>
    <row r="509" spans="1:6" ht="15" customHeight="1" x14ac:dyDescent="0.25">
      <c r="A509" s="15"/>
      <c r="B509" s="24" t="s">
        <v>1365</v>
      </c>
      <c r="C509" s="26">
        <v>48</v>
      </c>
      <c r="D509" s="26">
        <v>34738</v>
      </c>
      <c r="E509" s="16">
        <v>27880</v>
      </c>
      <c r="F509" s="18">
        <f t="shared" si="183"/>
        <v>0.80257930796246191</v>
      </c>
    </row>
    <row r="510" spans="1:6" ht="23.1" customHeight="1" x14ac:dyDescent="0.25">
      <c r="A510" s="22"/>
      <c r="B510" s="22" t="s">
        <v>9</v>
      </c>
      <c r="C510" s="14">
        <f t="shared" ref="C510" si="184">SUM(C511:C518)</f>
        <v>506</v>
      </c>
      <c r="D510" s="14">
        <f t="shared" ref="D510:E510" si="185">SUM(D511:D518)</f>
        <v>424419</v>
      </c>
      <c r="E510" s="14">
        <f t="shared" si="185"/>
        <v>358960</v>
      </c>
      <c r="F510" s="13">
        <f t="shared" si="183"/>
        <v>0.845767979284622</v>
      </c>
    </row>
    <row r="511" spans="1:6" ht="15" customHeight="1" x14ac:dyDescent="0.25">
      <c r="A511" s="15">
        <v>1</v>
      </c>
      <c r="B511" s="15" t="s">
        <v>341</v>
      </c>
      <c r="C511" s="26">
        <v>76</v>
      </c>
      <c r="D511" s="26">
        <v>62754</v>
      </c>
      <c r="E511" s="16">
        <v>53916</v>
      </c>
      <c r="F511" s="18">
        <f t="shared" si="183"/>
        <v>0.85916435605698438</v>
      </c>
    </row>
    <row r="512" spans="1:6" ht="15" customHeight="1" x14ac:dyDescent="0.25">
      <c r="A512" s="15">
        <v>2</v>
      </c>
      <c r="B512" s="15" t="s">
        <v>1366</v>
      </c>
      <c r="C512" s="26">
        <v>52</v>
      </c>
      <c r="D512" s="26">
        <v>43627</v>
      </c>
      <c r="E512" s="16">
        <v>35586</v>
      </c>
      <c r="F512" s="18">
        <f t="shared" si="183"/>
        <v>0.8156875329497788</v>
      </c>
    </row>
    <row r="513" spans="1:6" ht="15" customHeight="1" x14ac:dyDescent="0.25">
      <c r="A513" s="15">
        <v>3</v>
      </c>
      <c r="B513" s="15" t="s">
        <v>342</v>
      </c>
      <c r="C513" s="26">
        <v>73</v>
      </c>
      <c r="D513" s="26">
        <v>57234</v>
      </c>
      <c r="E513" s="16">
        <v>48062</v>
      </c>
      <c r="F513" s="18">
        <f t="shared" si="183"/>
        <v>0.83974560575881474</v>
      </c>
    </row>
    <row r="514" spans="1:6" ht="15" customHeight="1" x14ac:dyDescent="0.25">
      <c r="A514" s="15">
        <v>4</v>
      </c>
      <c r="B514" s="15" t="s">
        <v>343</v>
      </c>
      <c r="C514" s="26">
        <v>31</v>
      </c>
      <c r="D514" s="26">
        <v>26436</v>
      </c>
      <c r="E514" s="16">
        <v>22637</v>
      </c>
      <c r="F514" s="18">
        <f t="shared" si="183"/>
        <v>0.85629444696625812</v>
      </c>
    </row>
    <row r="515" spans="1:6" ht="15" customHeight="1" x14ac:dyDescent="0.25">
      <c r="A515" s="15">
        <v>5</v>
      </c>
      <c r="B515" s="15" t="s">
        <v>344</v>
      </c>
      <c r="C515" s="26">
        <v>70</v>
      </c>
      <c r="D515" s="26">
        <v>57151</v>
      </c>
      <c r="E515" s="16">
        <v>47476</v>
      </c>
      <c r="F515" s="18">
        <f t="shared" si="183"/>
        <v>0.83071162359363793</v>
      </c>
    </row>
    <row r="516" spans="1:6" ht="15" customHeight="1" x14ac:dyDescent="0.25">
      <c r="A516" s="15">
        <v>6</v>
      </c>
      <c r="B516" s="15" t="s">
        <v>35</v>
      </c>
      <c r="C516" s="26">
        <v>40</v>
      </c>
      <c r="D516" s="26">
        <v>34638</v>
      </c>
      <c r="E516" s="16">
        <v>30065</v>
      </c>
      <c r="F516" s="18">
        <f t="shared" si="183"/>
        <v>0.86797736589872398</v>
      </c>
    </row>
    <row r="517" spans="1:6" ht="15" customHeight="1" x14ac:dyDescent="0.25">
      <c r="A517" s="15">
        <v>7</v>
      </c>
      <c r="B517" s="15" t="s">
        <v>345</v>
      </c>
      <c r="C517" s="26">
        <v>56</v>
      </c>
      <c r="D517" s="26">
        <v>45858</v>
      </c>
      <c r="E517" s="16">
        <v>37199</v>
      </c>
      <c r="F517" s="18">
        <f t="shared" si="183"/>
        <v>0.81117798421213305</v>
      </c>
    </row>
    <row r="518" spans="1:6" ht="15" customHeight="1" x14ac:dyDescent="0.25">
      <c r="A518" s="15"/>
      <c r="B518" s="24" t="s">
        <v>1367</v>
      </c>
      <c r="C518" s="26">
        <v>108</v>
      </c>
      <c r="D518" s="26">
        <v>96721</v>
      </c>
      <c r="E518" s="16">
        <v>84019</v>
      </c>
      <c r="F518" s="18">
        <f t="shared" si="183"/>
        <v>0.86867381437330049</v>
      </c>
    </row>
    <row r="519" spans="1:6" ht="23.1" customHeight="1" x14ac:dyDescent="0.25">
      <c r="A519" s="22"/>
      <c r="B519" s="22" t="s">
        <v>346</v>
      </c>
      <c r="C519" s="14">
        <f>SUM(C520+C524+C531+C537)</f>
        <v>2066</v>
      </c>
      <c r="D519" s="14">
        <f>SUM(D520+D524+D531+D537)</f>
        <v>1674789</v>
      </c>
      <c r="E519" s="14">
        <f t="shared" ref="E519" si="186">SUM(E520+E524+E531+E537)</f>
        <v>1418533</v>
      </c>
      <c r="F519" s="13">
        <f t="shared" si="183"/>
        <v>0.84699206885165834</v>
      </c>
    </row>
    <row r="520" spans="1:6" ht="23.1" customHeight="1" x14ac:dyDescent="0.25">
      <c r="A520" s="22"/>
      <c r="B520" s="22" t="s">
        <v>6</v>
      </c>
      <c r="C520" s="14">
        <f t="shared" ref="C520" si="187">SUM(C521:C523)</f>
        <v>537</v>
      </c>
      <c r="D520" s="14">
        <f t="shared" ref="D520:E520" si="188">SUM(D521:D523)</f>
        <v>441218</v>
      </c>
      <c r="E520" s="14">
        <f t="shared" si="188"/>
        <v>363274</v>
      </c>
      <c r="F520" s="13">
        <f t="shared" si="183"/>
        <v>0.8233435625926413</v>
      </c>
    </row>
    <row r="521" spans="1:6" ht="15" customHeight="1" x14ac:dyDescent="0.25">
      <c r="A521" s="15">
        <v>1</v>
      </c>
      <c r="B521" s="15" t="s">
        <v>347</v>
      </c>
      <c r="C521" s="26">
        <v>103</v>
      </c>
      <c r="D521" s="26">
        <v>82452</v>
      </c>
      <c r="E521" s="16">
        <v>71454</v>
      </c>
      <c r="F521" s="18">
        <f t="shared" si="183"/>
        <v>0.8666133022849658</v>
      </c>
    </row>
    <row r="522" spans="1:6" ht="15" customHeight="1" x14ac:dyDescent="0.25">
      <c r="A522" s="15"/>
      <c r="B522" s="24" t="s">
        <v>1368</v>
      </c>
      <c r="C522" s="26">
        <v>249</v>
      </c>
      <c r="D522" s="26">
        <v>211775</v>
      </c>
      <c r="E522" s="16">
        <v>168242</v>
      </c>
      <c r="F522" s="18">
        <f t="shared" si="183"/>
        <v>0.79443749262188645</v>
      </c>
    </row>
    <row r="523" spans="1:6" ht="15" customHeight="1" x14ac:dyDescent="0.25">
      <c r="A523" s="15"/>
      <c r="B523" s="24" t="s">
        <v>348</v>
      </c>
      <c r="C523" s="26">
        <v>185</v>
      </c>
      <c r="D523" s="26">
        <v>146991</v>
      </c>
      <c r="E523" s="16">
        <v>123578</v>
      </c>
      <c r="F523" s="18">
        <f t="shared" si="183"/>
        <v>0.84071813920580174</v>
      </c>
    </row>
    <row r="524" spans="1:6" ht="23.1" customHeight="1" x14ac:dyDescent="0.25">
      <c r="A524" s="22"/>
      <c r="B524" s="22" t="s">
        <v>7</v>
      </c>
      <c r="C524" s="14">
        <f>SUM(C525:C530)</f>
        <v>471</v>
      </c>
      <c r="D524" s="14">
        <f>SUM(D525:D530)</f>
        <v>372379</v>
      </c>
      <c r="E524" s="14">
        <f t="shared" ref="E524" si="189">SUM(E525:E530)</f>
        <v>314489</v>
      </c>
      <c r="F524" s="13">
        <f t="shared" si="183"/>
        <v>0.84454010564505522</v>
      </c>
    </row>
    <row r="525" spans="1:6" ht="15" customHeight="1" x14ac:dyDescent="0.25">
      <c r="A525" s="15">
        <v>1</v>
      </c>
      <c r="B525" s="15" t="s">
        <v>349</v>
      </c>
      <c r="C525" s="26">
        <v>100</v>
      </c>
      <c r="D525" s="26">
        <v>77262</v>
      </c>
      <c r="E525" s="17">
        <v>65154</v>
      </c>
      <c r="F525" s="18">
        <f t="shared" si="183"/>
        <v>0.84328647977013282</v>
      </c>
    </row>
    <row r="526" spans="1:6" ht="15" customHeight="1" x14ac:dyDescent="0.25">
      <c r="A526" s="15">
        <v>2</v>
      </c>
      <c r="B526" s="15" t="s">
        <v>350</v>
      </c>
      <c r="C526" s="26">
        <v>86</v>
      </c>
      <c r="D526" s="26">
        <v>66883</v>
      </c>
      <c r="E526" s="17">
        <v>55197</v>
      </c>
      <c r="F526" s="18">
        <f t="shared" si="183"/>
        <v>0.82527697621219143</v>
      </c>
    </row>
    <row r="527" spans="1:6" ht="15" customHeight="1" x14ac:dyDescent="0.25">
      <c r="A527" s="15">
        <v>3</v>
      </c>
      <c r="B527" s="15" t="s">
        <v>351</v>
      </c>
      <c r="C527" s="26">
        <v>117</v>
      </c>
      <c r="D527" s="26">
        <v>94702</v>
      </c>
      <c r="E527" s="16">
        <v>78968</v>
      </c>
      <c r="F527" s="18">
        <f t="shared" si="183"/>
        <v>0.83385778547443556</v>
      </c>
    </row>
    <row r="528" spans="1:6" ht="15" customHeight="1" x14ac:dyDescent="0.25">
      <c r="A528" s="15">
        <v>4</v>
      </c>
      <c r="B528" s="15" t="s">
        <v>352</v>
      </c>
      <c r="C528" s="26">
        <v>99</v>
      </c>
      <c r="D528" s="26">
        <v>80603</v>
      </c>
      <c r="E528" s="16">
        <v>68975</v>
      </c>
      <c r="F528" s="18">
        <f t="shared" si="183"/>
        <v>0.85573737950200368</v>
      </c>
    </row>
    <row r="529" spans="1:6" ht="15" customHeight="1" x14ac:dyDescent="0.25">
      <c r="A529" s="15">
        <v>5</v>
      </c>
      <c r="B529" s="15" t="s">
        <v>353</v>
      </c>
      <c r="C529" s="26">
        <v>39</v>
      </c>
      <c r="D529" s="26">
        <v>29564</v>
      </c>
      <c r="E529" s="16">
        <v>25200</v>
      </c>
      <c r="F529" s="18">
        <f t="shared" si="183"/>
        <v>0.85238803950750919</v>
      </c>
    </row>
    <row r="530" spans="1:6" ht="15" customHeight="1" x14ac:dyDescent="0.25">
      <c r="A530" s="15">
        <v>6</v>
      </c>
      <c r="B530" s="15" t="s">
        <v>1369</v>
      </c>
      <c r="C530" s="26">
        <v>30</v>
      </c>
      <c r="D530" s="26">
        <v>23365</v>
      </c>
      <c r="E530" s="16">
        <v>20995</v>
      </c>
      <c r="F530" s="18">
        <f t="shared" si="183"/>
        <v>0.89856623154290605</v>
      </c>
    </row>
    <row r="531" spans="1:6" ht="23.1" customHeight="1" x14ac:dyDescent="0.25">
      <c r="A531" s="22"/>
      <c r="B531" s="22" t="s">
        <v>8</v>
      </c>
      <c r="C531" s="14">
        <f t="shared" ref="C531" si="190">SUM(C532:C536)</f>
        <v>578</v>
      </c>
      <c r="D531" s="14">
        <f t="shared" ref="D531:E531" si="191">SUM(D532:D536)</f>
        <v>475143</v>
      </c>
      <c r="E531" s="14">
        <f t="shared" si="191"/>
        <v>410861</v>
      </c>
      <c r="F531" s="13">
        <f t="shared" si="183"/>
        <v>0.86471020303361301</v>
      </c>
    </row>
    <row r="532" spans="1:6" ht="15" customHeight="1" x14ac:dyDescent="0.25">
      <c r="A532" s="15">
        <v>1</v>
      </c>
      <c r="B532" s="15" t="s">
        <v>354</v>
      </c>
      <c r="C532" s="17">
        <v>100</v>
      </c>
      <c r="D532" s="17">
        <v>81178</v>
      </c>
      <c r="E532" s="16">
        <v>70120</v>
      </c>
      <c r="F532" s="18">
        <f t="shared" si="183"/>
        <v>0.86378082731774619</v>
      </c>
    </row>
    <row r="533" spans="1:6" ht="15" customHeight="1" x14ac:dyDescent="0.25">
      <c r="A533" s="15">
        <v>2</v>
      </c>
      <c r="B533" s="15" t="s">
        <v>355</v>
      </c>
      <c r="C533" s="17">
        <v>67</v>
      </c>
      <c r="D533" s="17">
        <v>49890</v>
      </c>
      <c r="E533" s="16">
        <v>40801</v>
      </c>
      <c r="F533" s="18">
        <f t="shared" si="183"/>
        <v>0.81781920224493887</v>
      </c>
    </row>
    <row r="534" spans="1:6" ht="15" customHeight="1" x14ac:dyDescent="0.25">
      <c r="A534" s="15">
        <v>3</v>
      </c>
      <c r="B534" s="15" t="s">
        <v>356</v>
      </c>
      <c r="C534" s="17">
        <v>126</v>
      </c>
      <c r="D534" s="17">
        <v>100362</v>
      </c>
      <c r="E534" s="16">
        <v>88991</v>
      </c>
      <c r="F534" s="18">
        <f t="shared" si="183"/>
        <v>0.88670014547338638</v>
      </c>
    </row>
    <row r="535" spans="1:6" ht="15" customHeight="1" x14ac:dyDescent="0.25">
      <c r="A535" s="15">
        <v>4</v>
      </c>
      <c r="B535" s="15" t="s">
        <v>217</v>
      </c>
      <c r="C535" s="17">
        <v>46</v>
      </c>
      <c r="D535" s="17">
        <v>36297</v>
      </c>
      <c r="E535" s="16">
        <v>31806</v>
      </c>
      <c r="F535" s="18">
        <f t="shared" ref="F535:F566" si="192">SUM(E535/D535)</f>
        <v>0.87627076617902311</v>
      </c>
    </row>
    <row r="536" spans="1:6" ht="15" customHeight="1" x14ac:dyDescent="0.25">
      <c r="A536" s="15"/>
      <c r="B536" s="24" t="s">
        <v>1341</v>
      </c>
      <c r="C536" s="17">
        <v>239</v>
      </c>
      <c r="D536" s="17">
        <v>207416</v>
      </c>
      <c r="E536" s="16">
        <v>179143</v>
      </c>
      <c r="F536" s="18">
        <f t="shared" si="192"/>
        <v>0.86368939715354653</v>
      </c>
    </row>
    <row r="537" spans="1:6" ht="23.1" customHeight="1" x14ac:dyDescent="0.25">
      <c r="A537" s="22"/>
      <c r="B537" s="22" t="s">
        <v>9</v>
      </c>
      <c r="C537" s="14">
        <f t="shared" ref="C537" si="193">SUM(C538:C545)</f>
        <v>480</v>
      </c>
      <c r="D537" s="14">
        <f t="shared" ref="D537:E537" si="194">SUM(D538:D545)</f>
        <v>386049</v>
      </c>
      <c r="E537" s="14">
        <f t="shared" si="194"/>
        <v>329909</v>
      </c>
      <c r="F537" s="13">
        <f t="shared" si="192"/>
        <v>0.85457804579211449</v>
      </c>
    </row>
    <row r="538" spans="1:6" ht="15" customHeight="1" x14ac:dyDescent="0.25">
      <c r="A538" s="15">
        <v>1</v>
      </c>
      <c r="B538" s="15" t="s">
        <v>357</v>
      </c>
      <c r="C538" s="26">
        <v>74</v>
      </c>
      <c r="D538" s="26">
        <v>65650</v>
      </c>
      <c r="E538" s="16">
        <v>55001</v>
      </c>
      <c r="F538" s="18">
        <f t="shared" si="192"/>
        <v>0.83779131759329784</v>
      </c>
    </row>
    <row r="539" spans="1:6" ht="15" customHeight="1" x14ac:dyDescent="0.25">
      <c r="A539" s="15">
        <v>2</v>
      </c>
      <c r="B539" s="15" t="s">
        <v>358</v>
      </c>
      <c r="C539" s="26">
        <v>101</v>
      </c>
      <c r="D539" s="26">
        <v>81766</v>
      </c>
      <c r="E539" s="16">
        <v>73143</v>
      </c>
      <c r="F539" s="18">
        <f t="shared" si="192"/>
        <v>0.89454051806374291</v>
      </c>
    </row>
    <row r="540" spans="1:6" ht="15" customHeight="1" x14ac:dyDescent="0.25">
      <c r="A540" s="15">
        <v>3</v>
      </c>
      <c r="B540" s="15" t="s">
        <v>359</v>
      </c>
      <c r="C540" s="26">
        <v>59</v>
      </c>
      <c r="D540" s="26">
        <v>45766</v>
      </c>
      <c r="E540" s="16">
        <v>36367</v>
      </c>
      <c r="F540" s="18">
        <f t="shared" si="192"/>
        <v>0.7946292007166893</v>
      </c>
    </row>
    <row r="541" spans="1:6" ht="15" customHeight="1" x14ac:dyDescent="0.25">
      <c r="A541" s="15">
        <v>4</v>
      </c>
      <c r="B541" s="15" t="s">
        <v>360</v>
      </c>
      <c r="C541" s="26">
        <v>57</v>
      </c>
      <c r="D541" s="26">
        <v>42091</v>
      </c>
      <c r="E541" s="16">
        <v>36807</v>
      </c>
      <c r="F541" s="18">
        <f t="shared" si="192"/>
        <v>0.87446247416312273</v>
      </c>
    </row>
    <row r="542" spans="1:6" ht="15" customHeight="1" x14ac:dyDescent="0.25">
      <c r="A542" s="15">
        <v>5</v>
      </c>
      <c r="B542" s="15" t="s">
        <v>361</v>
      </c>
      <c r="C542" s="26">
        <v>42</v>
      </c>
      <c r="D542" s="26">
        <v>32206</v>
      </c>
      <c r="E542" s="17">
        <v>26460</v>
      </c>
      <c r="F542" s="18">
        <f t="shared" si="192"/>
        <v>0.82158603986834755</v>
      </c>
    </row>
    <row r="543" spans="1:6" ht="15" customHeight="1" x14ac:dyDescent="0.25">
      <c r="A543" s="15">
        <v>6</v>
      </c>
      <c r="B543" s="15" t="s">
        <v>288</v>
      </c>
      <c r="C543" s="26">
        <v>50</v>
      </c>
      <c r="D543" s="26">
        <v>38585</v>
      </c>
      <c r="E543" s="16">
        <v>33106</v>
      </c>
      <c r="F543" s="18">
        <f t="shared" si="192"/>
        <v>0.85800181417649346</v>
      </c>
    </row>
    <row r="544" spans="1:6" ht="15" customHeight="1" x14ac:dyDescent="0.25">
      <c r="A544" s="15">
        <v>7</v>
      </c>
      <c r="B544" s="15" t="s">
        <v>362</v>
      </c>
      <c r="C544" s="26">
        <v>57</v>
      </c>
      <c r="D544" s="26">
        <v>45430</v>
      </c>
      <c r="E544" s="16">
        <v>39125</v>
      </c>
      <c r="F544" s="18">
        <f t="shared" si="192"/>
        <v>0.86121505613031035</v>
      </c>
    </row>
    <row r="545" spans="1:6" ht="15" customHeight="1" x14ac:dyDescent="0.25">
      <c r="A545" s="15">
        <v>8</v>
      </c>
      <c r="B545" s="15" t="s">
        <v>161</v>
      </c>
      <c r="C545" s="26">
        <v>40</v>
      </c>
      <c r="D545" s="26">
        <v>34555</v>
      </c>
      <c r="E545" s="16">
        <v>29900</v>
      </c>
      <c r="F545" s="18">
        <f t="shared" si="192"/>
        <v>0.86528722326725505</v>
      </c>
    </row>
    <row r="546" spans="1:6" ht="23.1" customHeight="1" x14ac:dyDescent="0.25">
      <c r="A546" s="22"/>
      <c r="B546" s="22" t="s">
        <v>363</v>
      </c>
      <c r="C546" s="14">
        <f t="shared" ref="C546" si="195">SUM(C547+C558+C563)</f>
        <v>1220</v>
      </c>
      <c r="D546" s="14">
        <f t="shared" ref="D546:E546" si="196">SUM(D547+D558+D563)</f>
        <v>936003</v>
      </c>
      <c r="E546" s="14">
        <f t="shared" si="196"/>
        <v>827669</v>
      </c>
      <c r="F546" s="13">
        <f t="shared" si="192"/>
        <v>0.88425891797355349</v>
      </c>
    </row>
    <row r="547" spans="1:6" ht="23.1" customHeight="1" x14ac:dyDescent="0.25">
      <c r="A547" s="22"/>
      <c r="B547" s="22" t="s">
        <v>6</v>
      </c>
      <c r="C547" s="14">
        <f t="shared" ref="C547" si="197">SUM(C548:C557)</f>
        <v>408</v>
      </c>
      <c r="D547" s="14">
        <f t="shared" ref="D547:E547" si="198">SUM(D548:D557)</f>
        <v>285992</v>
      </c>
      <c r="E547" s="14">
        <f t="shared" si="198"/>
        <v>249853</v>
      </c>
      <c r="F547" s="13">
        <f t="shared" si="192"/>
        <v>0.87363632549162218</v>
      </c>
    </row>
    <row r="548" spans="1:6" ht="15" customHeight="1" x14ac:dyDescent="0.25">
      <c r="A548" s="15">
        <v>1</v>
      </c>
      <c r="B548" s="15" t="s">
        <v>364</v>
      </c>
      <c r="C548" s="26">
        <v>18</v>
      </c>
      <c r="D548" s="26">
        <v>8620</v>
      </c>
      <c r="E548" s="16">
        <v>7561</v>
      </c>
      <c r="F548" s="18">
        <f t="shared" si="192"/>
        <v>0.87714617169373554</v>
      </c>
    </row>
    <row r="549" spans="1:6" ht="15" customHeight="1" x14ac:dyDescent="0.25">
      <c r="A549" s="15">
        <v>2</v>
      </c>
      <c r="B549" s="15" t="s">
        <v>365</v>
      </c>
      <c r="C549" s="26">
        <v>77</v>
      </c>
      <c r="D549" s="26">
        <v>53620</v>
      </c>
      <c r="E549" s="16">
        <v>46452</v>
      </c>
      <c r="F549" s="18">
        <f t="shared" si="192"/>
        <v>0.86631853785900781</v>
      </c>
    </row>
    <row r="550" spans="1:6" ht="15" customHeight="1" x14ac:dyDescent="0.25">
      <c r="A550" s="15">
        <v>3</v>
      </c>
      <c r="B550" s="15" t="s">
        <v>366</v>
      </c>
      <c r="C550" s="26">
        <v>36</v>
      </c>
      <c r="D550" s="26">
        <v>21815</v>
      </c>
      <c r="E550" s="16">
        <v>19016</v>
      </c>
      <c r="F550" s="18">
        <f t="shared" si="192"/>
        <v>0.87169378867751546</v>
      </c>
    </row>
    <row r="551" spans="1:6" ht="15" customHeight="1" x14ac:dyDescent="0.25">
      <c r="A551" s="15">
        <v>4</v>
      </c>
      <c r="B551" s="15" t="s">
        <v>367</v>
      </c>
      <c r="C551" s="26">
        <v>58</v>
      </c>
      <c r="D551" s="26">
        <v>39659</v>
      </c>
      <c r="E551" s="16">
        <v>35117</v>
      </c>
      <c r="F551" s="18">
        <f t="shared" si="192"/>
        <v>0.88547366297687791</v>
      </c>
    </row>
    <row r="552" spans="1:6" ht="15" customHeight="1" x14ac:dyDescent="0.25">
      <c r="A552" s="15">
        <v>5</v>
      </c>
      <c r="B552" s="15" t="s">
        <v>368</v>
      </c>
      <c r="C552" s="26">
        <v>84</v>
      </c>
      <c r="D552" s="26">
        <v>66607</v>
      </c>
      <c r="E552" s="16">
        <v>56868</v>
      </c>
      <c r="F552" s="18">
        <f t="shared" si="192"/>
        <v>0.85378413680243814</v>
      </c>
    </row>
    <row r="553" spans="1:6" ht="15" customHeight="1" x14ac:dyDescent="0.25">
      <c r="A553" s="15">
        <v>6</v>
      </c>
      <c r="B553" s="15" t="s">
        <v>369</v>
      </c>
      <c r="C553" s="26">
        <v>29</v>
      </c>
      <c r="D553" s="26">
        <v>18851</v>
      </c>
      <c r="E553" s="16">
        <v>16187</v>
      </c>
      <c r="F553" s="18">
        <f t="shared" si="192"/>
        <v>0.85868123706965149</v>
      </c>
    </row>
    <row r="554" spans="1:6" ht="15" customHeight="1" x14ac:dyDescent="0.25">
      <c r="A554" s="15">
        <v>7</v>
      </c>
      <c r="B554" s="15" t="s">
        <v>370</v>
      </c>
      <c r="C554" s="26">
        <v>21</v>
      </c>
      <c r="D554" s="26">
        <v>16035</v>
      </c>
      <c r="E554" s="16">
        <v>14450</v>
      </c>
      <c r="F554" s="18">
        <f t="shared" si="192"/>
        <v>0.90115372622388523</v>
      </c>
    </row>
    <row r="555" spans="1:6" ht="15" customHeight="1" x14ac:dyDescent="0.25">
      <c r="A555" s="15">
        <v>8</v>
      </c>
      <c r="B555" s="15" t="s">
        <v>371</v>
      </c>
      <c r="C555" s="26">
        <v>15</v>
      </c>
      <c r="D555" s="26">
        <v>9884</v>
      </c>
      <c r="E555" s="16">
        <v>8785</v>
      </c>
      <c r="F555" s="18">
        <f t="shared" si="192"/>
        <v>0.88881019830028329</v>
      </c>
    </row>
    <row r="556" spans="1:6" ht="15" customHeight="1" x14ac:dyDescent="0.25">
      <c r="A556" s="15">
        <v>9</v>
      </c>
      <c r="B556" s="15" t="s">
        <v>199</v>
      </c>
      <c r="C556" s="26">
        <v>25</v>
      </c>
      <c r="D556" s="26">
        <v>18075</v>
      </c>
      <c r="E556" s="16">
        <v>15708</v>
      </c>
      <c r="F556" s="18">
        <f t="shared" si="192"/>
        <v>0.86904564315352695</v>
      </c>
    </row>
    <row r="557" spans="1:6" ht="15" customHeight="1" x14ac:dyDescent="0.25">
      <c r="A557" s="15">
        <v>10</v>
      </c>
      <c r="B557" s="15" t="s">
        <v>372</v>
      </c>
      <c r="C557" s="26">
        <v>45</v>
      </c>
      <c r="D557" s="26">
        <v>32826</v>
      </c>
      <c r="E557" s="16">
        <v>29709</v>
      </c>
      <c r="F557" s="18">
        <f t="shared" si="192"/>
        <v>0.90504478157558033</v>
      </c>
    </row>
    <row r="558" spans="1:6" ht="23.1" customHeight="1" x14ac:dyDescent="0.25">
      <c r="A558" s="22"/>
      <c r="B558" s="22" t="s">
        <v>7</v>
      </c>
      <c r="C558" s="14">
        <f t="shared" ref="C558" si="199">SUM(C559:C562)</f>
        <v>450</v>
      </c>
      <c r="D558" s="14">
        <f t="shared" ref="D558:E558" si="200">SUM(D559:D562)</f>
        <v>355968</v>
      </c>
      <c r="E558" s="14">
        <f t="shared" si="200"/>
        <v>319965</v>
      </c>
      <c r="F558" s="13">
        <f t="shared" si="192"/>
        <v>0.89885888619201726</v>
      </c>
    </row>
    <row r="559" spans="1:6" ht="15" customHeight="1" x14ac:dyDescent="0.25">
      <c r="A559" s="15">
        <v>1</v>
      </c>
      <c r="B559" s="15" t="s">
        <v>373</v>
      </c>
      <c r="C559" s="26">
        <v>83</v>
      </c>
      <c r="D559" s="26">
        <v>60410</v>
      </c>
      <c r="E559" s="16">
        <v>54789</v>
      </c>
      <c r="F559" s="18">
        <f t="shared" si="192"/>
        <v>0.90695249130938582</v>
      </c>
    </row>
    <row r="560" spans="1:6" ht="15" customHeight="1" x14ac:dyDescent="0.25">
      <c r="A560" s="15">
        <v>2</v>
      </c>
      <c r="B560" s="15" t="s">
        <v>374</v>
      </c>
      <c r="C560" s="26">
        <v>33</v>
      </c>
      <c r="D560" s="26">
        <v>23321</v>
      </c>
      <c r="E560" s="16">
        <v>21103</v>
      </c>
      <c r="F560" s="18">
        <f t="shared" si="192"/>
        <v>0.90489258608121437</v>
      </c>
    </row>
    <row r="561" spans="1:6" ht="15" customHeight="1" x14ac:dyDescent="0.25">
      <c r="A561" s="15">
        <v>3</v>
      </c>
      <c r="B561" s="15" t="s">
        <v>375</v>
      </c>
      <c r="C561" s="26">
        <v>56</v>
      </c>
      <c r="D561" s="26">
        <v>42982</v>
      </c>
      <c r="E561" s="16">
        <v>37968</v>
      </c>
      <c r="F561" s="18">
        <f t="shared" si="192"/>
        <v>0.88334651714671253</v>
      </c>
    </row>
    <row r="562" spans="1:6" ht="15" customHeight="1" x14ac:dyDescent="0.25">
      <c r="A562" s="15"/>
      <c r="B562" s="24" t="s">
        <v>1370</v>
      </c>
      <c r="C562" s="26">
        <v>278</v>
      </c>
      <c r="D562" s="26">
        <v>229255</v>
      </c>
      <c r="E562" s="16">
        <v>206105</v>
      </c>
      <c r="F562" s="18">
        <f t="shared" si="192"/>
        <v>0.89902074109615926</v>
      </c>
    </row>
    <row r="563" spans="1:6" ht="23.1" customHeight="1" x14ac:dyDescent="0.25">
      <c r="A563" s="22"/>
      <c r="B563" s="22" t="s">
        <v>8</v>
      </c>
      <c r="C563" s="14">
        <f t="shared" ref="C563" si="201">SUM(C564:C567)</f>
        <v>362</v>
      </c>
      <c r="D563" s="14">
        <f t="shared" ref="D563:E563" si="202">SUM(D564:D567)</f>
        <v>294043</v>
      </c>
      <c r="E563" s="14">
        <f t="shared" si="202"/>
        <v>257851</v>
      </c>
      <c r="F563" s="13">
        <f t="shared" si="192"/>
        <v>0.8769159612709706</v>
      </c>
    </row>
    <row r="564" spans="1:6" ht="15" customHeight="1" x14ac:dyDescent="0.25">
      <c r="A564" s="15">
        <v>1</v>
      </c>
      <c r="B564" s="15" t="s">
        <v>376</v>
      </c>
      <c r="C564" s="26">
        <v>60</v>
      </c>
      <c r="D564" s="26">
        <v>47867</v>
      </c>
      <c r="E564" s="16">
        <v>40545</v>
      </c>
      <c r="F564" s="18">
        <f t="shared" si="192"/>
        <v>0.84703449140326326</v>
      </c>
    </row>
    <row r="565" spans="1:6" ht="15" customHeight="1" x14ac:dyDescent="0.25">
      <c r="A565" s="15">
        <v>2</v>
      </c>
      <c r="B565" s="15" t="s">
        <v>377</v>
      </c>
      <c r="C565" s="26">
        <v>101</v>
      </c>
      <c r="D565" s="26">
        <v>88121</v>
      </c>
      <c r="E565" s="16">
        <v>76795</v>
      </c>
      <c r="F565" s="18">
        <f t="shared" si="192"/>
        <v>0.87147218029754547</v>
      </c>
    </row>
    <row r="566" spans="1:6" ht="15" customHeight="1" x14ac:dyDescent="0.25">
      <c r="A566" s="15">
        <v>3</v>
      </c>
      <c r="B566" s="15" t="s">
        <v>378</v>
      </c>
      <c r="C566" s="26">
        <v>143</v>
      </c>
      <c r="D566" s="26">
        <v>112534</v>
      </c>
      <c r="E566" s="16">
        <v>99919</v>
      </c>
      <c r="F566" s="18">
        <f t="shared" si="192"/>
        <v>0.88790054561288145</v>
      </c>
    </row>
    <row r="567" spans="1:6" ht="15" customHeight="1" x14ac:dyDescent="0.25">
      <c r="A567" s="15">
        <v>4</v>
      </c>
      <c r="B567" s="15" t="s">
        <v>42</v>
      </c>
      <c r="C567" s="26">
        <v>58</v>
      </c>
      <c r="D567" s="26">
        <v>45521</v>
      </c>
      <c r="E567" s="16">
        <v>40592</v>
      </c>
      <c r="F567" s="18">
        <f t="shared" ref="F567:F598" si="203">SUM(E567/D567)</f>
        <v>0.89172030491421539</v>
      </c>
    </row>
    <row r="568" spans="1:6" ht="23.1" customHeight="1" x14ac:dyDescent="0.25">
      <c r="A568" s="22"/>
      <c r="B568" s="22" t="s">
        <v>379</v>
      </c>
      <c r="C568" s="14">
        <f t="shared" ref="C568" si="204">SUM(C569+C574)</f>
        <v>697</v>
      </c>
      <c r="D568" s="14">
        <f t="shared" ref="D568:E568" si="205">SUM(D569+D574)</f>
        <v>552136</v>
      </c>
      <c r="E568" s="14">
        <f t="shared" si="205"/>
        <v>459253</v>
      </c>
      <c r="F568" s="13">
        <f t="shared" si="203"/>
        <v>0.83177514235623107</v>
      </c>
    </row>
    <row r="569" spans="1:6" ht="23.1" customHeight="1" x14ac:dyDescent="0.25">
      <c r="A569" s="22"/>
      <c r="B569" s="22" t="s">
        <v>6</v>
      </c>
      <c r="C569" s="14">
        <f t="shared" ref="C569" si="206">SUM(C570:C573)</f>
        <v>306</v>
      </c>
      <c r="D569" s="14">
        <f t="shared" ref="D569:E569" si="207">SUM(D570:D573)</f>
        <v>253317</v>
      </c>
      <c r="E569" s="14">
        <f t="shared" si="207"/>
        <v>199137</v>
      </c>
      <c r="F569" s="13">
        <f t="shared" si="203"/>
        <v>0.78611778917324937</v>
      </c>
    </row>
    <row r="570" spans="1:6" ht="15" customHeight="1" x14ac:dyDescent="0.25">
      <c r="A570" s="15">
        <v>1</v>
      </c>
      <c r="B570" s="15" t="s">
        <v>380</v>
      </c>
      <c r="C570" s="26">
        <v>48</v>
      </c>
      <c r="D570" s="26">
        <v>36919</v>
      </c>
      <c r="E570" s="17">
        <v>29346</v>
      </c>
      <c r="F570" s="18">
        <f t="shared" si="203"/>
        <v>0.79487526747745063</v>
      </c>
    </row>
    <row r="571" spans="1:6" ht="15" customHeight="1" x14ac:dyDescent="0.25">
      <c r="A571" s="15">
        <v>2</v>
      </c>
      <c r="B571" s="15" t="s">
        <v>381</v>
      </c>
      <c r="C571" s="26">
        <v>38</v>
      </c>
      <c r="D571" s="26">
        <v>25097</v>
      </c>
      <c r="E571" s="17">
        <v>20560</v>
      </c>
      <c r="F571" s="18">
        <f t="shared" si="203"/>
        <v>0.8192214208869586</v>
      </c>
    </row>
    <row r="572" spans="1:6" ht="15" customHeight="1" x14ac:dyDescent="0.25">
      <c r="A572" s="15">
        <v>3</v>
      </c>
      <c r="B572" s="15" t="s">
        <v>382</v>
      </c>
      <c r="C572" s="26">
        <v>79</v>
      </c>
      <c r="D572" s="26">
        <v>68402</v>
      </c>
      <c r="E572" s="17">
        <v>54903</v>
      </c>
      <c r="F572" s="18">
        <f t="shared" si="203"/>
        <v>0.80265196924066551</v>
      </c>
    </row>
    <row r="573" spans="1:6" ht="15" customHeight="1" x14ac:dyDescent="0.25">
      <c r="A573" s="15"/>
      <c r="B573" s="24" t="s">
        <v>1371</v>
      </c>
      <c r="C573" s="26">
        <v>141</v>
      </c>
      <c r="D573" s="26">
        <v>122899</v>
      </c>
      <c r="E573" s="17">
        <v>94328</v>
      </c>
      <c r="F573" s="18">
        <f t="shared" si="203"/>
        <v>0.76752455268147013</v>
      </c>
    </row>
    <row r="574" spans="1:6" ht="23.1" customHeight="1" x14ac:dyDescent="0.25">
      <c r="A574" s="22"/>
      <c r="B574" s="22" t="s">
        <v>7</v>
      </c>
      <c r="C574" s="14">
        <f t="shared" ref="C574" si="208">SUM(C575:C584)</f>
        <v>391</v>
      </c>
      <c r="D574" s="14">
        <f t="shared" ref="D574:E574" si="209">SUM(D575:D584)</f>
        <v>298819</v>
      </c>
      <c r="E574" s="14">
        <f t="shared" si="209"/>
        <v>260116</v>
      </c>
      <c r="F574" s="13">
        <f t="shared" si="203"/>
        <v>0.87048012341919356</v>
      </c>
    </row>
    <row r="575" spans="1:6" ht="15" customHeight="1" x14ac:dyDescent="0.25">
      <c r="A575" s="15">
        <v>1</v>
      </c>
      <c r="B575" s="15" t="s">
        <v>383</v>
      </c>
      <c r="C575" s="26">
        <v>60</v>
      </c>
      <c r="D575" s="26">
        <v>46839</v>
      </c>
      <c r="E575" s="17">
        <v>41382</v>
      </c>
      <c r="F575" s="18">
        <f t="shared" si="203"/>
        <v>0.88349452379427396</v>
      </c>
    </row>
    <row r="576" spans="1:6" ht="15" customHeight="1" x14ac:dyDescent="0.25">
      <c r="A576" s="15">
        <v>2</v>
      </c>
      <c r="B576" s="15" t="s">
        <v>384</v>
      </c>
      <c r="C576" s="26">
        <v>29</v>
      </c>
      <c r="D576" s="26">
        <v>19460</v>
      </c>
      <c r="E576" s="17">
        <v>17220</v>
      </c>
      <c r="F576" s="18">
        <f t="shared" si="203"/>
        <v>0.8848920863309353</v>
      </c>
    </row>
    <row r="577" spans="1:6" ht="15" customHeight="1" x14ac:dyDescent="0.25">
      <c r="A577" s="15">
        <v>3</v>
      </c>
      <c r="B577" s="15" t="s">
        <v>385</v>
      </c>
      <c r="C577" s="26">
        <v>27</v>
      </c>
      <c r="D577" s="26">
        <v>20406</v>
      </c>
      <c r="E577" s="17">
        <v>17882</v>
      </c>
      <c r="F577" s="18">
        <f t="shared" si="203"/>
        <v>0.87631088895422915</v>
      </c>
    </row>
    <row r="578" spans="1:6" ht="15" customHeight="1" x14ac:dyDescent="0.25">
      <c r="A578" s="15">
        <v>4</v>
      </c>
      <c r="B578" s="15" t="s">
        <v>1372</v>
      </c>
      <c r="C578" s="26">
        <v>45</v>
      </c>
      <c r="D578" s="26">
        <v>38256</v>
      </c>
      <c r="E578" s="17">
        <v>32731</v>
      </c>
      <c r="F578" s="18">
        <f t="shared" si="203"/>
        <v>0.85557820995399414</v>
      </c>
    </row>
    <row r="579" spans="1:6" ht="15" customHeight="1" x14ac:dyDescent="0.25">
      <c r="A579" s="15">
        <v>5</v>
      </c>
      <c r="B579" s="15" t="s">
        <v>386</v>
      </c>
      <c r="C579" s="26">
        <v>47</v>
      </c>
      <c r="D579" s="26">
        <v>40568</v>
      </c>
      <c r="E579" s="17">
        <v>35061</v>
      </c>
      <c r="F579" s="18">
        <f t="shared" si="203"/>
        <v>0.8642526128968645</v>
      </c>
    </row>
    <row r="580" spans="1:6" ht="15" customHeight="1" x14ac:dyDescent="0.25">
      <c r="A580" s="15">
        <v>6</v>
      </c>
      <c r="B580" s="15" t="s">
        <v>387</v>
      </c>
      <c r="C580" s="26">
        <v>41</v>
      </c>
      <c r="D580" s="26">
        <v>28607</v>
      </c>
      <c r="E580" s="17">
        <v>25412</v>
      </c>
      <c r="F580" s="18">
        <f t="shared" si="203"/>
        <v>0.88831404900898381</v>
      </c>
    </row>
    <row r="581" spans="1:6" ht="15" customHeight="1" x14ac:dyDescent="0.25">
      <c r="A581" s="15">
        <v>7</v>
      </c>
      <c r="B581" s="15" t="s">
        <v>344</v>
      </c>
      <c r="C581" s="26">
        <v>33</v>
      </c>
      <c r="D581" s="26">
        <v>24236</v>
      </c>
      <c r="E581" s="17">
        <v>21106</v>
      </c>
      <c r="F581" s="18">
        <f t="shared" si="203"/>
        <v>0.87085327611817132</v>
      </c>
    </row>
    <row r="582" spans="1:6" ht="15" customHeight="1" x14ac:dyDescent="0.25">
      <c r="A582" s="15">
        <v>8</v>
      </c>
      <c r="B582" s="15" t="s">
        <v>388</v>
      </c>
      <c r="C582" s="26">
        <v>23</v>
      </c>
      <c r="D582" s="26">
        <v>17178</v>
      </c>
      <c r="E582" s="17">
        <v>14709</v>
      </c>
      <c r="F582" s="18">
        <f t="shared" si="203"/>
        <v>0.85626964722319243</v>
      </c>
    </row>
    <row r="583" spans="1:6" ht="15" customHeight="1" x14ac:dyDescent="0.25">
      <c r="A583" s="15">
        <v>9</v>
      </c>
      <c r="B583" s="15" t="s">
        <v>389</v>
      </c>
      <c r="C583" s="26">
        <v>29</v>
      </c>
      <c r="D583" s="26">
        <v>20167</v>
      </c>
      <c r="E583" s="17">
        <v>17053</v>
      </c>
      <c r="F583" s="18">
        <f t="shared" si="203"/>
        <v>0.84558932910199835</v>
      </c>
    </row>
    <row r="584" spans="1:6" ht="15" customHeight="1" x14ac:dyDescent="0.25">
      <c r="A584" s="15">
        <v>10</v>
      </c>
      <c r="B584" s="15" t="s">
        <v>138</v>
      </c>
      <c r="C584" s="26">
        <v>57</v>
      </c>
      <c r="D584" s="26">
        <v>43102</v>
      </c>
      <c r="E584" s="17">
        <v>37560</v>
      </c>
      <c r="F584" s="18">
        <f t="shared" si="203"/>
        <v>0.87142127975499972</v>
      </c>
    </row>
    <row r="585" spans="1:6" ht="23.1" customHeight="1" x14ac:dyDescent="0.25">
      <c r="A585" s="140" t="s">
        <v>390</v>
      </c>
      <c r="B585" s="140"/>
      <c r="C585" s="14">
        <f>SUM(C586+C627+C659+C697+C743)</f>
        <v>12346</v>
      </c>
      <c r="D585" s="14">
        <f>SUM(D586+D627+D659+D697+D743)</f>
        <v>9714079</v>
      </c>
      <c r="E585" s="14">
        <f>SUM(E586+E627+E659+E697+E743)</f>
        <v>7849709</v>
      </c>
      <c r="F585" s="13">
        <f t="shared" si="203"/>
        <v>0.80807547478252961</v>
      </c>
    </row>
    <row r="586" spans="1:6" ht="23.1" customHeight="1" x14ac:dyDescent="0.25">
      <c r="A586" s="22"/>
      <c r="B586" s="22" t="s">
        <v>391</v>
      </c>
      <c r="C586" s="12">
        <f>SUM(C587+C596+C603+C616+C624+C626)</f>
        <v>2569</v>
      </c>
      <c r="D586" s="12">
        <f>SUM(D587+D596+D603+D616+D624+D626)</f>
        <v>1958794</v>
      </c>
      <c r="E586" s="12">
        <f>SUM(E587+E596+E603+E616+E624+E626)</f>
        <v>1697672</v>
      </c>
      <c r="F586" s="13">
        <f t="shared" si="203"/>
        <v>0.86669246485337403</v>
      </c>
    </row>
    <row r="587" spans="1:6" ht="23.1" customHeight="1" x14ac:dyDescent="0.25">
      <c r="A587" s="22"/>
      <c r="B587" s="22" t="s">
        <v>6</v>
      </c>
      <c r="C587" s="14">
        <f>SUM(C588:C595)</f>
        <v>573</v>
      </c>
      <c r="D587" s="14">
        <f t="shared" ref="D587:E587" si="210">SUM(D588:D595)</f>
        <v>419735</v>
      </c>
      <c r="E587" s="14">
        <f t="shared" si="210"/>
        <v>370667</v>
      </c>
      <c r="F587" s="13">
        <f t="shared" si="203"/>
        <v>0.88309766876719831</v>
      </c>
    </row>
    <row r="588" spans="1:6" ht="15" customHeight="1" x14ac:dyDescent="0.25">
      <c r="A588" s="15">
        <v>1</v>
      </c>
      <c r="B588" s="15" t="s">
        <v>392</v>
      </c>
      <c r="C588" s="20">
        <v>83</v>
      </c>
      <c r="D588" s="20">
        <v>59821</v>
      </c>
      <c r="E588" s="16">
        <v>53774</v>
      </c>
      <c r="F588" s="18">
        <f t="shared" si="203"/>
        <v>0.89891509670517045</v>
      </c>
    </row>
    <row r="589" spans="1:6" ht="15" customHeight="1" x14ac:dyDescent="0.25">
      <c r="A589" s="15">
        <v>2</v>
      </c>
      <c r="B589" s="15" t="s">
        <v>393</v>
      </c>
      <c r="C589" s="20">
        <v>56</v>
      </c>
      <c r="D589" s="20">
        <v>38198</v>
      </c>
      <c r="E589" s="16">
        <v>34744</v>
      </c>
      <c r="F589" s="18">
        <f t="shared" si="203"/>
        <v>0.90957641761348762</v>
      </c>
    </row>
    <row r="590" spans="1:6" ht="15" customHeight="1" x14ac:dyDescent="0.25">
      <c r="A590" s="15">
        <v>3</v>
      </c>
      <c r="B590" s="15" t="s">
        <v>394</v>
      </c>
      <c r="C590" s="20">
        <v>84</v>
      </c>
      <c r="D590" s="20">
        <v>59437</v>
      </c>
      <c r="E590" s="16">
        <v>52864</v>
      </c>
      <c r="F590" s="18">
        <f t="shared" si="203"/>
        <v>0.88941231892592154</v>
      </c>
    </row>
    <row r="591" spans="1:6" ht="15" customHeight="1" x14ac:dyDescent="0.25">
      <c r="A591" s="15">
        <v>4</v>
      </c>
      <c r="B591" s="15" t="s">
        <v>395</v>
      </c>
      <c r="C591" s="20">
        <v>50</v>
      </c>
      <c r="D591" s="20">
        <v>37493</v>
      </c>
      <c r="E591" s="16">
        <v>33101</v>
      </c>
      <c r="F591" s="18">
        <f t="shared" si="203"/>
        <v>0.8828581335182567</v>
      </c>
    </row>
    <row r="592" spans="1:6" ht="15" customHeight="1" x14ac:dyDescent="0.25">
      <c r="A592" s="15">
        <v>5</v>
      </c>
      <c r="B592" s="15" t="s">
        <v>396</v>
      </c>
      <c r="C592" s="20">
        <v>110</v>
      </c>
      <c r="D592" s="20">
        <v>89379</v>
      </c>
      <c r="E592" s="16">
        <v>76579</v>
      </c>
      <c r="F592" s="18">
        <f t="shared" si="203"/>
        <v>0.8567896261985477</v>
      </c>
    </row>
    <row r="593" spans="1:6" ht="15" customHeight="1" x14ac:dyDescent="0.25">
      <c r="A593" s="15">
        <v>6</v>
      </c>
      <c r="B593" s="15" t="s">
        <v>397</v>
      </c>
      <c r="C593" s="20">
        <v>62</v>
      </c>
      <c r="D593" s="20">
        <v>40453</v>
      </c>
      <c r="E593" s="16">
        <v>35011</v>
      </c>
      <c r="F593" s="18">
        <f t="shared" si="203"/>
        <v>0.86547351247126292</v>
      </c>
    </row>
    <row r="594" spans="1:6" ht="15" customHeight="1" x14ac:dyDescent="0.25">
      <c r="A594" s="15">
        <v>7</v>
      </c>
      <c r="B594" s="15" t="s">
        <v>398</v>
      </c>
      <c r="C594" s="20">
        <v>44</v>
      </c>
      <c r="D594" s="20">
        <v>31097</v>
      </c>
      <c r="E594" s="16">
        <v>27192</v>
      </c>
      <c r="F594" s="18">
        <f t="shared" si="203"/>
        <v>0.87442518570923244</v>
      </c>
    </row>
    <row r="595" spans="1:6" ht="15" customHeight="1" x14ac:dyDescent="0.25">
      <c r="A595" s="15"/>
      <c r="B595" s="24" t="s">
        <v>1607</v>
      </c>
      <c r="C595" s="20">
        <v>84</v>
      </c>
      <c r="D595" s="20">
        <v>63857</v>
      </c>
      <c r="E595" s="16">
        <v>57402</v>
      </c>
      <c r="F595" s="18">
        <f>SUM(E595/D595)</f>
        <v>0.89891476267284709</v>
      </c>
    </row>
    <row r="596" spans="1:6" ht="23.1" customHeight="1" x14ac:dyDescent="0.25">
      <c r="A596" s="22"/>
      <c r="B596" s="22" t="s">
        <v>7</v>
      </c>
      <c r="C596" s="12">
        <f t="shared" ref="C596" si="211">SUM(C597:C602)</f>
        <v>295</v>
      </c>
      <c r="D596" s="12">
        <f t="shared" ref="D596:E596" si="212">SUM(D597:D602)</f>
        <v>208306</v>
      </c>
      <c r="E596" s="12">
        <f t="shared" si="212"/>
        <v>179990</v>
      </c>
      <c r="F596" s="13">
        <f t="shared" si="203"/>
        <v>0.86406536537593737</v>
      </c>
    </row>
    <row r="597" spans="1:6" ht="15" customHeight="1" x14ac:dyDescent="0.25">
      <c r="A597" s="15">
        <v>1</v>
      </c>
      <c r="B597" s="15" t="s">
        <v>399</v>
      </c>
      <c r="C597" s="20">
        <v>87</v>
      </c>
      <c r="D597" s="20">
        <v>60835</v>
      </c>
      <c r="E597" s="16">
        <v>52595</v>
      </c>
      <c r="F597" s="18">
        <f t="shared" si="203"/>
        <v>0.86455165611901041</v>
      </c>
    </row>
    <row r="598" spans="1:6" ht="15" customHeight="1" x14ac:dyDescent="0.25">
      <c r="A598" s="15">
        <v>2</v>
      </c>
      <c r="B598" s="15" t="s">
        <v>400</v>
      </c>
      <c r="C598" s="20">
        <v>43</v>
      </c>
      <c r="D598" s="20">
        <v>29032</v>
      </c>
      <c r="E598" s="16">
        <v>25995</v>
      </c>
      <c r="F598" s="18">
        <f t="shared" si="203"/>
        <v>0.89539129236704329</v>
      </c>
    </row>
    <row r="599" spans="1:6" ht="15" customHeight="1" x14ac:dyDescent="0.25">
      <c r="A599" s="15">
        <v>3</v>
      </c>
      <c r="B599" s="15" t="s">
        <v>170</v>
      </c>
      <c r="C599" s="20">
        <v>49</v>
      </c>
      <c r="D599" s="20">
        <v>35913</v>
      </c>
      <c r="E599" s="16">
        <v>30905</v>
      </c>
      <c r="F599" s="18">
        <f t="shared" ref="F599:F622" si="213">SUM(E599/D599)</f>
        <v>0.86055188928800153</v>
      </c>
    </row>
    <row r="600" spans="1:6" ht="15" customHeight="1" x14ac:dyDescent="0.25">
      <c r="A600" s="15">
        <v>4</v>
      </c>
      <c r="B600" s="15" t="s">
        <v>288</v>
      </c>
      <c r="C600" s="20">
        <v>40</v>
      </c>
      <c r="D600" s="20">
        <v>26877</v>
      </c>
      <c r="E600" s="16">
        <v>23574</v>
      </c>
      <c r="F600" s="18">
        <f t="shared" si="213"/>
        <v>0.87710681995758455</v>
      </c>
    </row>
    <row r="601" spans="1:6" ht="15" customHeight="1" x14ac:dyDescent="0.25">
      <c r="A601" s="15">
        <v>5</v>
      </c>
      <c r="B601" s="15" t="s">
        <v>401</v>
      </c>
      <c r="C601" s="20">
        <v>58</v>
      </c>
      <c r="D601" s="20">
        <v>44264</v>
      </c>
      <c r="E601" s="16">
        <v>38012</v>
      </c>
      <c r="F601" s="18">
        <f t="shared" si="213"/>
        <v>0.85875655159949393</v>
      </c>
    </row>
    <row r="602" spans="1:6" ht="15" customHeight="1" x14ac:dyDescent="0.25">
      <c r="A602" s="23">
        <v>6</v>
      </c>
      <c r="B602" s="15" t="s">
        <v>402</v>
      </c>
      <c r="C602" s="20">
        <v>18</v>
      </c>
      <c r="D602" s="20">
        <v>11385</v>
      </c>
      <c r="E602" s="16">
        <v>8909</v>
      </c>
      <c r="F602" s="18">
        <f t="shared" si="213"/>
        <v>0.78252086078173033</v>
      </c>
    </row>
    <row r="603" spans="1:6" ht="23.1" customHeight="1" x14ac:dyDescent="0.25">
      <c r="A603" s="22"/>
      <c r="B603" s="22" t="s">
        <v>8</v>
      </c>
      <c r="C603" s="14">
        <f t="shared" ref="C603" si="214">SUM(C604:C615)</f>
        <v>680</v>
      </c>
      <c r="D603" s="14">
        <f t="shared" ref="D603:E603" si="215">SUM(D604:D615)</f>
        <v>515378</v>
      </c>
      <c r="E603" s="14">
        <f t="shared" si="215"/>
        <v>445505</v>
      </c>
      <c r="F603" s="13">
        <f t="shared" si="213"/>
        <v>0.86442378215600979</v>
      </c>
    </row>
    <row r="604" spans="1:6" ht="15" customHeight="1" x14ac:dyDescent="0.25">
      <c r="A604" s="15">
        <v>1</v>
      </c>
      <c r="B604" s="15" t="s">
        <v>403</v>
      </c>
      <c r="C604" s="20">
        <v>48</v>
      </c>
      <c r="D604" s="20">
        <v>27383</v>
      </c>
      <c r="E604" s="16">
        <v>24438</v>
      </c>
      <c r="F604" s="18">
        <f t="shared" si="213"/>
        <v>0.89245152101668923</v>
      </c>
    </row>
    <row r="605" spans="1:6" ht="15" customHeight="1" x14ac:dyDescent="0.25">
      <c r="A605" s="15">
        <v>2</v>
      </c>
      <c r="B605" s="15" t="s">
        <v>404</v>
      </c>
      <c r="C605" s="20">
        <v>27</v>
      </c>
      <c r="D605" s="20">
        <v>19249</v>
      </c>
      <c r="E605" s="16">
        <v>15948</v>
      </c>
      <c r="F605" s="18">
        <f t="shared" si="213"/>
        <v>0.82851057197776512</v>
      </c>
    </row>
    <row r="606" spans="1:6" ht="15" customHeight="1" x14ac:dyDescent="0.25">
      <c r="A606" s="15">
        <v>3</v>
      </c>
      <c r="B606" s="15" t="s">
        <v>405</v>
      </c>
      <c r="C606" s="20">
        <v>23</v>
      </c>
      <c r="D606" s="20">
        <v>15206</v>
      </c>
      <c r="E606" s="16">
        <v>13205</v>
      </c>
      <c r="F606" s="18">
        <f t="shared" si="213"/>
        <v>0.86840720768117852</v>
      </c>
    </row>
    <row r="607" spans="1:6" ht="15" customHeight="1" x14ac:dyDescent="0.25">
      <c r="A607" s="15">
        <v>4</v>
      </c>
      <c r="B607" s="15" t="s">
        <v>406</v>
      </c>
      <c r="C607" s="20">
        <v>38</v>
      </c>
      <c r="D607" s="20">
        <v>25742</v>
      </c>
      <c r="E607" s="16">
        <v>22764</v>
      </c>
      <c r="F607" s="18">
        <f t="shared" si="213"/>
        <v>0.88431357314893944</v>
      </c>
    </row>
    <row r="608" spans="1:6" ht="15" customHeight="1" x14ac:dyDescent="0.25">
      <c r="A608" s="15">
        <v>5</v>
      </c>
      <c r="B608" s="15" t="s">
        <v>407</v>
      </c>
      <c r="C608" s="20">
        <v>39</v>
      </c>
      <c r="D608" s="20">
        <v>28925</v>
      </c>
      <c r="E608" s="16">
        <v>26219</v>
      </c>
      <c r="F608" s="18">
        <f t="shared" si="213"/>
        <v>0.90644770959377696</v>
      </c>
    </row>
    <row r="609" spans="1:6" ht="15" customHeight="1" x14ac:dyDescent="0.25">
      <c r="A609" s="15">
        <v>6</v>
      </c>
      <c r="B609" s="15" t="s">
        <v>408</v>
      </c>
      <c r="C609" s="20">
        <v>49</v>
      </c>
      <c r="D609" s="20">
        <v>39256</v>
      </c>
      <c r="E609" s="16">
        <v>33212</v>
      </c>
      <c r="F609" s="18">
        <f t="shared" si="213"/>
        <v>0.84603627470959852</v>
      </c>
    </row>
    <row r="610" spans="1:6" ht="15" customHeight="1" x14ac:dyDescent="0.25">
      <c r="A610" s="15">
        <v>7</v>
      </c>
      <c r="B610" s="15" t="s">
        <v>409</v>
      </c>
      <c r="C610" s="20">
        <v>29</v>
      </c>
      <c r="D610" s="20">
        <v>22311</v>
      </c>
      <c r="E610" s="16">
        <v>19925</v>
      </c>
      <c r="F610" s="18">
        <f t="shared" si="213"/>
        <v>0.89305723634081846</v>
      </c>
    </row>
    <row r="611" spans="1:6" ht="15" customHeight="1" x14ac:dyDescent="0.25">
      <c r="A611" s="15">
        <v>8</v>
      </c>
      <c r="B611" s="15" t="s">
        <v>116</v>
      </c>
      <c r="C611" s="20">
        <v>25</v>
      </c>
      <c r="D611" s="20">
        <v>16051</v>
      </c>
      <c r="E611" s="16">
        <v>13996</v>
      </c>
      <c r="F611" s="18">
        <f t="shared" si="213"/>
        <v>0.87197059373247776</v>
      </c>
    </row>
    <row r="612" spans="1:6" ht="15" customHeight="1" x14ac:dyDescent="0.25">
      <c r="A612" s="15">
        <v>9</v>
      </c>
      <c r="B612" s="15" t="s">
        <v>218</v>
      </c>
      <c r="C612" s="20">
        <v>23</v>
      </c>
      <c r="D612" s="20">
        <v>14295</v>
      </c>
      <c r="E612" s="16">
        <v>12085</v>
      </c>
      <c r="F612" s="18">
        <f t="shared" si="213"/>
        <v>0.84540048968170689</v>
      </c>
    </row>
    <row r="613" spans="1:6" ht="15" customHeight="1" x14ac:dyDescent="0.25">
      <c r="A613" s="15">
        <v>10</v>
      </c>
      <c r="B613" s="15" t="s">
        <v>410</v>
      </c>
      <c r="C613" s="20">
        <v>43</v>
      </c>
      <c r="D613" s="20">
        <v>30724</v>
      </c>
      <c r="E613" s="16">
        <v>26623</v>
      </c>
      <c r="F613" s="18">
        <f t="shared" si="213"/>
        <v>0.86652128629084757</v>
      </c>
    </row>
    <row r="614" spans="1:6" ht="15" customHeight="1" x14ac:dyDescent="0.25">
      <c r="A614" s="15"/>
      <c r="B614" s="24" t="s">
        <v>1545</v>
      </c>
      <c r="C614" s="20">
        <v>150</v>
      </c>
      <c r="D614" s="20">
        <v>124836</v>
      </c>
      <c r="E614" s="16">
        <v>104837</v>
      </c>
      <c r="F614" s="18">
        <f>SUM(E614/D614)</f>
        <v>0.83979781473292958</v>
      </c>
    </row>
    <row r="615" spans="1:6" ht="15" customHeight="1" x14ac:dyDescent="0.25">
      <c r="A615" s="15"/>
      <c r="B615" s="24" t="s">
        <v>1373</v>
      </c>
      <c r="C615" s="20">
        <v>186</v>
      </c>
      <c r="D615" s="20">
        <v>151400</v>
      </c>
      <c r="E615" s="16">
        <v>132253</v>
      </c>
      <c r="F615" s="18">
        <f t="shared" si="213"/>
        <v>0.87353368560105682</v>
      </c>
    </row>
    <row r="616" spans="1:6" ht="23.1" customHeight="1" x14ac:dyDescent="0.25">
      <c r="A616" s="22"/>
      <c r="B616" s="22" t="s">
        <v>9</v>
      </c>
      <c r="C616" s="12">
        <f t="shared" ref="C616" si="216">SUM(C617:C622)</f>
        <v>428</v>
      </c>
      <c r="D616" s="12">
        <f t="shared" ref="D616:E616" si="217">SUM(D617:D622)</f>
        <v>329711</v>
      </c>
      <c r="E616" s="12">
        <f t="shared" si="217"/>
        <v>289561</v>
      </c>
      <c r="F616" s="13">
        <f t="shared" si="213"/>
        <v>0.87822668943408011</v>
      </c>
    </row>
    <row r="617" spans="1:6" ht="15" customHeight="1" x14ac:dyDescent="0.25">
      <c r="A617" s="15">
        <v>1</v>
      </c>
      <c r="B617" s="15" t="s">
        <v>411</v>
      </c>
      <c r="C617" s="20">
        <v>52</v>
      </c>
      <c r="D617" s="20">
        <v>41301</v>
      </c>
      <c r="E617" s="16">
        <v>37135</v>
      </c>
      <c r="F617" s="18">
        <f t="shared" si="213"/>
        <v>0.89913077165201816</v>
      </c>
    </row>
    <row r="618" spans="1:6" ht="15" customHeight="1" x14ac:dyDescent="0.25">
      <c r="A618" s="15">
        <v>2</v>
      </c>
      <c r="B618" s="15" t="s">
        <v>412</v>
      </c>
      <c r="C618" s="20">
        <v>44</v>
      </c>
      <c r="D618" s="20">
        <v>34545</v>
      </c>
      <c r="E618" s="16">
        <v>30478</v>
      </c>
      <c r="F618" s="18">
        <f t="shared" si="213"/>
        <v>0.88226950354609934</v>
      </c>
    </row>
    <row r="619" spans="1:6" ht="15" customHeight="1" x14ac:dyDescent="0.25">
      <c r="A619" s="15">
        <v>3</v>
      </c>
      <c r="B619" s="15" t="s">
        <v>160</v>
      </c>
      <c r="C619" s="20">
        <v>110</v>
      </c>
      <c r="D619" s="20">
        <v>85045</v>
      </c>
      <c r="E619" s="16">
        <v>74474</v>
      </c>
      <c r="F619" s="18">
        <f t="shared" si="213"/>
        <v>0.87570109941795515</v>
      </c>
    </row>
    <row r="620" spans="1:6" ht="15" customHeight="1" x14ac:dyDescent="0.25">
      <c r="A620" s="15">
        <v>4</v>
      </c>
      <c r="B620" s="15" t="s">
        <v>374</v>
      </c>
      <c r="C620" s="20">
        <v>81</v>
      </c>
      <c r="D620" s="20">
        <v>62236</v>
      </c>
      <c r="E620" s="17">
        <v>55835</v>
      </c>
      <c r="F620" s="18">
        <f t="shared" si="213"/>
        <v>0.89714955974034316</v>
      </c>
    </row>
    <row r="621" spans="1:6" ht="15" customHeight="1" x14ac:dyDescent="0.25">
      <c r="A621" s="15">
        <v>5</v>
      </c>
      <c r="B621" s="15" t="s">
        <v>47</v>
      </c>
      <c r="C621" s="20">
        <v>100</v>
      </c>
      <c r="D621" s="20">
        <v>76584</v>
      </c>
      <c r="E621" s="16">
        <v>65198</v>
      </c>
      <c r="F621" s="18">
        <f t="shared" si="213"/>
        <v>0.85132664786378354</v>
      </c>
    </row>
    <row r="622" spans="1:6" ht="15" customHeight="1" x14ac:dyDescent="0.25">
      <c r="A622" s="15">
        <v>6</v>
      </c>
      <c r="B622" s="15" t="s">
        <v>413</v>
      </c>
      <c r="C622" s="20">
        <v>41</v>
      </c>
      <c r="D622" s="20">
        <v>30000</v>
      </c>
      <c r="E622" s="16">
        <v>26441</v>
      </c>
      <c r="F622" s="18">
        <f t="shared" si="213"/>
        <v>0.88136666666666663</v>
      </c>
    </row>
    <row r="623" spans="1:6" ht="23.1" customHeight="1" x14ac:dyDescent="0.25">
      <c r="A623" s="15"/>
      <c r="B623" s="22" t="s">
        <v>10</v>
      </c>
      <c r="C623" s="16"/>
      <c r="D623" s="16"/>
      <c r="E623" s="16"/>
      <c r="F623" s="18"/>
    </row>
    <row r="624" spans="1:6" ht="15" customHeight="1" x14ac:dyDescent="0.25">
      <c r="A624" s="23"/>
      <c r="B624" s="24" t="s">
        <v>1547</v>
      </c>
      <c r="C624" s="20">
        <v>284</v>
      </c>
      <c r="D624" s="20">
        <v>228263</v>
      </c>
      <c r="E624" s="16">
        <v>192750</v>
      </c>
      <c r="F624" s="18">
        <f>SUM(E624/D624)</f>
        <v>0.84442069016879651</v>
      </c>
    </row>
    <row r="625" spans="1:6" ht="23.1" customHeight="1" x14ac:dyDescent="0.25">
      <c r="A625" s="23"/>
      <c r="B625" s="22" t="s">
        <v>11</v>
      </c>
      <c r="C625" s="16"/>
      <c r="D625" s="16"/>
      <c r="E625" s="16"/>
      <c r="F625" s="18"/>
    </row>
    <row r="626" spans="1:6" ht="15" customHeight="1" x14ac:dyDescent="0.25">
      <c r="A626" s="15"/>
      <c r="B626" s="24" t="s">
        <v>1374</v>
      </c>
      <c r="C626" s="20">
        <v>309</v>
      </c>
      <c r="D626" s="20">
        <v>257401</v>
      </c>
      <c r="E626" s="16">
        <v>219199</v>
      </c>
      <c r="F626" s="18">
        <f t="shared" ref="F626:F657" si="218">SUM(E626/D626)</f>
        <v>0.85158565817537613</v>
      </c>
    </row>
    <row r="627" spans="1:6" ht="23.1" customHeight="1" x14ac:dyDescent="0.25">
      <c r="A627" s="22"/>
      <c r="B627" s="22" t="s">
        <v>414</v>
      </c>
      <c r="C627" s="12">
        <f>C628+C633+C635+C637+C639+C643+C645+C650</f>
        <v>2991</v>
      </c>
      <c r="D627" s="12">
        <f>D628+D633+D635+D637+D639+D643+D645+D650</f>
        <v>2447362</v>
      </c>
      <c r="E627" s="12">
        <f>E628+E633+E635+E637+E639+E643+E645+E650</f>
        <v>1923752</v>
      </c>
      <c r="F627" s="13">
        <f t="shared" si="218"/>
        <v>0.78605126662912961</v>
      </c>
    </row>
    <row r="628" spans="1:6" ht="23.1" customHeight="1" x14ac:dyDescent="0.25">
      <c r="A628" s="22"/>
      <c r="B628" s="22" t="s">
        <v>6</v>
      </c>
      <c r="C628" s="14">
        <f t="shared" ref="C628" si="219">SUM(C629:C632)</f>
        <v>341</v>
      </c>
      <c r="D628" s="14">
        <f t="shared" ref="D628:E628" si="220">SUM(D629:D632)</f>
        <v>261336</v>
      </c>
      <c r="E628" s="14">
        <f t="shared" si="220"/>
        <v>198617</v>
      </c>
      <c r="F628" s="13">
        <f t="shared" si="218"/>
        <v>0.76000627544616894</v>
      </c>
    </row>
    <row r="629" spans="1:6" ht="15" customHeight="1" x14ac:dyDescent="0.25">
      <c r="A629" s="15">
        <v>1</v>
      </c>
      <c r="B629" s="15" t="s">
        <v>415</v>
      </c>
      <c r="C629" s="20">
        <v>81</v>
      </c>
      <c r="D629" s="20">
        <v>69598</v>
      </c>
      <c r="E629" s="16">
        <v>52916</v>
      </c>
      <c r="F629" s="18">
        <f t="shared" si="218"/>
        <v>0.7603092042874795</v>
      </c>
    </row>
    <row r="630" spans="1:6" ht="15" customHeight="1" x14ac:dyDescent="0.25">
      <c r="A630" s="15">
        <v>2</v>
      </c>
      <c r="B630" s="15" t="s">
        <v>416</v>
      </c>
      <c r="C630" s="20">
        <v>41</v>
      </c>
      <c r="D630" s="20">
        <v>32612</v>
      </c>
      <c r="E630" s="16">
        <v>25841</v>
      </c>
      <c r="F630" s="18">
        <f t="shared" si="218"/>
        <v>0.79237703912670188</v>
      </c>
    </row>
    <row r="631" spans="1:6" ht="15" customHeight="1" x14ac:dyDescent="0.25">
      <c r="A631" s="15">
        <v>3</v>
      </c>
      <c r="B631" s="15" t="s">
        <v>160</v>
      </c>
      <c r="C631" s="20">
        <v>106</v>
      </c>
      <c r="D631" s="20">
        <v>89496</v>
      </c>
      <c r="E631" s="16">
        <v>62163</v>
      </c>
      <c r="F631" s="18">
        <f t="shared" si="218"/>
        <v>0.69458970233306516</v>
      </c>
    </row>
    <row r="632" spans="1:6" ht="15" customHeight="1" x14ac:dyDescent="0.25">
      <c r="A632" s="15"/>
      <c r="B632" s="24" t="s">
        <v>1375</v>
      </c>
      <c r="C632" s="20">
        <v>113</v>
      </c>
      <c r="D632" s="20">
        <v>69630</v>
      </c>
      <c r="E632" s="16">
        <v>57697</v>
      </c>
      <c r="F632" s="18">
        <f t="shared" si="218"/>
        <v>0.8286227200919144</v>
      </c>
    </row>
    <row r="633" spans="1:6" ht="23.1" customHeight="1" x14ac:dyDescent="0.25">
      <c r="A633" s="22"/>
      <c r="B633" s="22" t="s">
        <v>7</v>
      </c>
      <c r="C633" s="12">
        <f t="shared" ref="C633:E633" si="221">C634</f>
        <v>354</v>
      </c>
      <c r="D633" s="12">
        <f t="shared" si="221"/>
        <v>309462</v>
      </c>
      <c r="E633" s="12">
        <f t="shared" si="221"/>
        <v>227255</v>
      </c>
      <c r="F633" s="13">
        <f t="shared" si="218"/>
        <v>0.73435510660436498</v>
      </c>
    </row>
    <row r="634" spans="1:6" ht="15" customHeight="1" x14ac:dyDescent="0.25">
      <c r="A634" s="15"/>
      <c r="B634" s="24" t="s">
        <v>1376</v>
      </c>
      <c r="C634" s="20">
        <v>354</v>
      </c>
      <c r="D634" s="20">
        <v>309462</v>
      </c>
      <c r="E634" s="16">
        <v>227255</v>
      </c>
      <c r="F634" s="18">
        <f t="shared" si="218"/>
        <v>0.73435510660436498</v>
      </c>
    </row>
    <row r="635" spans="1:6" ht="23.1" customHeight="1" x14ac:dyDescent="0.25">
      <c r="A635" s="22"/>
      <c r="B635" s="22" t="s">
        <v>8</v>
      </c>
      <c r="C635" s="12">
        <f t="shared" ref="C635:E635" si="222">C636</f>
        <v>305</v>
      </c>
      <c r="D635" s="12">
        <f t="shared" si="222"/>
        <v>238853</v>
      </c>
      <c r="E635" s="12">
        <f t="shared" si="222"/>
        <v>191949</v>
      </c>
      <c r="F635" s="13">
        <f t="shared" si="218"/>
        <v>0.80362817297668443</v>
      </c>
    </row>
    <row r="636" spans="1:6" ht="15" customHeight="1" x14ac:dyDescent="0.25">
      <c r="A636" s="15"/>
      <c r="B636" s="24" t="s">
        <v>1377</v>
      </c>
      <c r="C636" s="20">
        <v>305</v>
      </c>
      <c r="D636" s="20">
        <v>238853</v>
      </c>
      <c r="E636" s="16">
        <v>191949</v>
      </c>
      <c r="F636" s="18">
        <f t="shared" si="218"/>
        <v>0.80362817297668443</v>
      </c>
    </row>
    <row r="637" spans="1:6" ht="23.1" customHeight="1" x14ac:dyDescent="0.25">
      <c r="A637" s="22"/>
      <c r="B637" s="22" t="s">
        <v>9</v>
      </c>
      <c r="C637" s="12">
        <f t="shared" ref="C637:E637" si="223">C638</f>
        <v>490</v>
      </c>
      <c r="D637" s="12">
        <f t="shared" si="223"/>
        <v>432844</v>
      </c>
      <c r="E637" s="12">
        <f t="shared" si="223"/>
        <v>351757</v>
      </c>
      <c r="F637" s="13">
        <f t="shared" si="218"/>
        <v>0.81266460895842385</v>
      </c>
    </row>
    <row r="638" spans="1:6" ht="15" customHeight="1" x14ac:dyDescent="0.25">
      <c r="A638" s="15"/>
      <c r="B638" s="24" t="s">
        <v>1378</v>
      </c>
      <c r="C638" s="20">
        <v>490</v>
      </c>
      <c r="D638" s="20">
        <v>432844</v>
      </c>
      <c r="E638" s="16">
        <v>351757</v>
      </c>
      <c r="F638" s="18">
        <f t="shared" si="218"/>
        <v>0.81266460895842385</v>
      </c>
    </row>
    <row r="639" spans="1:6" ht="23.1" customHeight="1" x14ac:dyDescent="0.25">
      <c r="A639" s="22"/>
      <c r="B639" s="22" t="s">
        <v>10</v>
      </c>
      <c r="C639" s="14">
        <f>SUM(C640:C642)</f>
        <v>381</v>
      </c>
      <c r="D639" s="14">
        <f t="shared" ref="D639:E639" si="224">SUM(D640:D642)</f>
        <v>315944</v>
      </c>
      <c r="E639" s="14">
        <f t="shared" si="224"/>
        <v>261549</v>
      </c>
      <c r="F639" s="13">
        <f t="shared" si="218"/>
        <v>0.82783341351631934</v>
      </c>
    </row>
    <row r="640" spans="1:6" ht="15" customHeight="1" x14ac:dyDescent="0.25">
      <c r="A640" s="15">
        <v>1</v>
      </c>
      <c r="B640" s="15" t="s">
        <v>1274</v>
      </c>
      <c r="C640" s="20">
        <v>106</v>
      </c>
      <c r="D640" s="20">
        <v>91724</v>
      </c>
      <c r="E640" s="16">
        <v>72163</v>
      </c>
      <c r="F640" s="18">
        <f t="shared" si="218"/>
        <v>0.78674065675286731</v>
      </c>
    </row>
    <row r="641" spans="1:6" ht="15" customHeight="1" x14ac:dyDescent="0.25">
      <c r="A641" s="15">
        <v>2</v>
      </c>
      <c r="B641" s="15" t="s">
        <v>417</v>
      </c>
      <c r="C641" s="20">
        <v>197</v>
      </c>
      <c r="D641" s="20">
        <v>158777</v>
      </c>
      <c r="E641" s="16">
        <v>134303</v>
      </c>
      <c r="F641" s="18">
        <f t="shared" si="218"/>
        <v>0.84585928692442858</v>
      </c>
    </row>
    <row r="642" spans="1:6" ht="15" customHeight="1" x14ac:dyDescent="0.25">
      <c r="A642" s="15"/>
      <c r="B642" s="15" t="s">
        <v>1608</v>
      </c>
      <c r="C642" s="20">
        <v>78</v>
      </c>
      <c r="D642" s="20">
        <v>65443</v>
      </c>
      <c r="E642" s="16">
        <v>55083</v>
      </c>
      <c r="F642" s="18">
        <f>SUM(E642/D642)</f>
        <v>0.84169429885549252</v>
      </c>
    </row>
    <row r="643" spans="1:6" ht="23.1" customHeight="1" x14ac:dyDescent="0.25">
      <c r="A643" s="22"/>
      <c r="B643" s="22" t="s">
        <v>11</v>
      </c>
      <c r="C643" s="12">
        <f t="shared" ref="C643:E643" si="225">SUM(C644)</f>
        <v>246</v>
      </c>
      <c r="D643" s="12">
        <f t="shared" si="225"/>
        <v>212830</v>
      </c>
      <c r="E643" s="12">
        <f t="shared" si="225"/>
        <v>147825</v>
      </c>
      <c r="F643" s="13">
        <f t="shared" si="218"/>
        <v>0.69456843490109477</v>
      </c>
    </row>
    <row r="644" spans="1:6" ht="15" customHeight="1" x14ac:dyDescent="0.25">
      <c r="A644" s="15"/>
      <c r="B644" s="24" t="s">
        <v>1379</v>
      </c>
      <c r="C644" s="20">
        <v>246</v>
      </c>
      <c r="D644" s="20">
        <v>212830</v>
      </c>
      <c r="E644" s="16">
        <v>147825</v>
      </c>
      <c r="F644" s="18">
        <f t="shared" si="218"/>
        <v>0.69456843490109477</v>
      </c>
    </row>
    <row r="645" spans="1:6" ht="23.1" customHeight="1" x14ac:dyDescent="0.25">
      <c r="A645" s="22"/>
      <c r="B645" s="22" t="s">
        <v>420</v>
      </c>
      <c r="C645" s="12">
        <f t="shared" ref="C645" si="226">SUM(C646:C649)</f>
        <v>445</v>
      </c>
      <c r="D645" s="12">
        <f t="shared" ref="D645:E645" si="227">SUM(D646:D649)</f>
        <v>363491</v>
      </c>
      <c r="E645" s="12">
        <f t="shared" si="227"/>
        <v>289432</v>
      </c>
      <c r="F645" s="13">
        <f t="shared" si="218"/>
        <v>0.79625630345730702</v>
      </c>
    </row>
    <row r="646" spans="1:6" ht="15" customHeight="1" x14ac:dyDescent="0.25">
      <c r="A646" s="15">
        <v>1</v>
      </c>
      <c r="B646" s="15" t="s">
        <v>418</v>
      </c>
      <c r="C646" s="19">
        <v>42</v>
      </c>
      <c r="D646" s="19">
        <v>28753</v>
      </c>
      <c r="E646" s="16">
        <v>21627</v>
      </c>
      <c r="F646" s="18">
        <f t="shared" si="218"/>
        <v>0.75216499147914995</v>
      </c>
    </row>
    <row r="647" spans="1:6" ht="15" customHeight="1" x14ac:dyDescent="0.25">
      <c r="A647" s="15">
        <v>2</v>
      </c>
      <c r="B647" s="15" t="s">
        <v>419</v>
      </c>
      <c r="C647" s="19">
        <v>200</v>
      </c>
      <c r="D647" s="19">
        <v>166873</v>
      </c>
      <c r="E647" s="16">
        <v>137110</v>
      </c>
      <c r="F647" s="18">
        <f t="shared" si="218"/>
        <v>0.82164280620591712</v>
      </c>
    </row>
    <row r="648" spans="1:6" ht="15" customHeight="1" x14ac:dyDescent="0.25">
      <c r="A648" s="15">
        <v>3</v>
      </c>
      <c r="B648" s="15" t="s">
        <v>423</v>
      </c>
      <c r="C648" s="19">
        <v>67</v>
      </c>
      <c r="D648" s="19">
        <v>46671</v>
      </c>
      <c r="E648" s="16">
        <v>39576</v>
      </c>
      <c r="F648" s="18">
        <f t="shared" si="218"/>
        <v>0.8479784020055281</v>
      </c>
    </row>
    <row r="649" spans="1:6" ht="15" customHeight="1" x14ac:dyDescent="0.25">
      <c r="A649" s="15"/>
      <c r="B649" s="24" t="s">
        <v>1380</v>
      </c>
      <c r="C649" s="19">
        <v>136</v>
      </c>
      <c r="D649" s="19">
        <v>121194</v>
      </c>
      <c r="E649" s="16">
        <v>91119</v>
      </c>
      <c r="F649" s="18">
        <f t="shared" si="218"/>
        <v>0.75184415070052968</v>
      </c>
    </row>
    <row r="650" spans="1:6" ht="23.1" customHeight="1" x14ac:dyDescent="0.25">
      <c r="A650" s="15"/>
      <c r="B650" s="22" t="s">
        <v>1320</v>
      </c>
      <c r="C650" s="12">
        <f t="shared" ref="C650" si="228">SUM(C651:C658)</f>
        <v>429</v>
      </c>
      <c r="D650" s="12">
        <f t="shared" ref="D650:E650" si="229">SUM(D651:D658)</f>
        <v>312602</v>
      </c>
      <c r="E650" s="12">
        <f t="shared" si="229"/>
        <v>255368</v>
      </c>
      <c r="F650" s="13">
        <f t="shared" si="218"/>
        <v>0.81691096026257026</v>
      </c>
    </row>
    <row r="651" spans="1:6" ht="15" customHeight="1" x14ac:dyDescent="0.25">
      <c r="A651" s="15">
        <v>1</v>
      </c>
      <c r="B651" s="15" t="s">
        <v>421</v>
      </c>
      <c r="C651" s="19">
        <v>57</v>
      </c>
      <c r="D651" s="19">
        <v>38829</v>
      </c>
      <c r="E651" s="16">
        <v>31237</v>
      </c>
      <c r="F651" s="18">
        <f t="shared" si="218"/>
        <v>0.80447603595250972</v>
      </c>
    </row>
    <row r="652" spans="1:6" ht="15" customHeight="1" x14ac:dyDescent="0.25">
      <c r="A652" s="15">
        <v>2</v>
      </c>
      <c r="B652" s="15" t="s">
        <v>422</v>
      </c>
      <c r="C652" s="19">
        <v>27</v>
      </c>
      <c r="D652" s="19">
        <v>18344</v>
      </c>
      <c r="E652" s="16">
        <v>15273</v>
      </c>
      <c r="F652" s="18">
        <f t="shared" si="218"/>
        <v>0.83258831225468821</v>
      </c>
    </row>
    <row r="653" spans="1:6" ht="15" customHeight="1" x14ac:dyDescent="0.25">
      <c r="A653" s="15">
        <v>3</v>
      </c>
      <c r="B653" s="15" t="s">
        <v>424</v>
      </c>
      <c r="C653" s="19">
        <v>27</v>
      </c>
      <c r="D653" s="19">
        <v>17601</v>
      </c>
      <c r="E653" s="16">
        <v>15303</v>
      </c>
      <c r="F653" s="18">
        <f t="shared" si="218"/>
        <v>0.86943923640702236</v>
      </c>
    </row>
    <row r="654" spans="1:6" ht="15" customHeight="1" x14ac:dyDescent="0.25">
      <c r="A654" s="15">
        <v>4</v>
      </c>
      <c r="B654" s="15" t="s">
        <v>425</v>
      </c>
      <c r="C654" s="19">
        <v>48</v>
      </c>
      <c r="D654" s="19">
        <v>33872</v>
      </c>
      <c r="E654" s="16">
        <v>27899</v>
      </c>
      <c r="F654" s="18">
        <f t="shared" si="218"/>
        <v>0.82365965989607937</v>
      </c>
    </row>
    <row r="655" spans="1:6" ht="15" customHeight="1" x14ac:dyDescent="0.25">
      <c r="A655" s="15">
        <v>5</v>
      </c>
      <c r="B655" s="15" t="s">
        <v>1381</v>
      </c>
      <c r="C655" s="19">
        <v>38</v>
      </c>
      <c r="D655" s="19">
        <v>24079</v>
      </c>
      <c r="E655" s="16">
        <v>20527</v>
      </c>
      <c r="F655" s="18">
        <f t="shared" si="218"/>
        <v>0.85248556833755551</v>
      </c>
    </row>
    <row r="656" spans="1:6" ht="15" customHeight="1" x14ac:dyDescent="0.25">
      <c r="A656" s="15">
        <v>6</v>
      </c>
      <c r="B656" s="15" t="s">
        <v>426</v>
      </c>
      <c r="C656" s="19">
        <v>136</v>
      </c>
      <c r="D656" s="19">
        <v>107215</v>
      </c>
      <c r="E656" s="16">
        <v>86326</v>
      </c>
      <c r="F656" s="18">
        <f t="shared" si="218"/>
        <v>0.80516718742713245</v>
      </c>
    </row>
    <row r="657" spans="1:6" ht="15" customHeight="1" x14ac:dyDescent="0.25">
      <c r="A657" s="15">
        <v>7</v>
      </c>
      <c r="B657" s="15" t="s">
        <v>427</v>
      </c>
      <c r="C657" s="19">
        <v>24</v>
      </c>
      <c r="D657" s="19">
        <v>17919</v>
      </c>
      <c r="E657" s="16">
        <v>14633</v>
      </c>
      <c r="F657" s="18">
        <f t="shared" si="218"/>
        <v>0.8166192309838719</v>
      </c>
    </row>
    <row r="658" spans="1:6" ht="15" customHeight="1" x14ac:dyDescent="0.25">
      <c r="A658" s="15"/>
      <c r="B658" s="24" t="s">
        <v>1382</v>
      </c>
      <c r="C658" s="19">
        <v>72</v>
      </c>
      <c r="D658" s="19">
        <v>54743</v>
      </c>
      <c r="E658" s="16">
        <v>44170</v>
      </c>
      <c r="F658" s="18">
        <f t="shared" ref="F658:F688" si="230">SUM(E658/D658)</f>
        <v>0.80686115119741342</v>
      </c>
    </row>
    <row r="659" spans="1:6" ht="23.1" customHeight="1" x14ac:dyDescent="0.25">
      <c r="A659" s="22"/>
      <c r="B659" s="22" t="s">
        <v>428</v>
      </c>
      <c r="C659" s="12">
        <f t="shared" ref="C659" si="231">C660+C662+C666+C674+C692+C694+C696</f>
        <v>2626</v>
      </c>
      <c r="D659" s="12">
        <f t="shared" ref="D659:E659" si="232">D660+D662+D666+D674+D692+D694+D696</f>
        <v>2140124</v>
      </c>
      <c r="E659" s="12">
        <f t="shared" si="232"/>
        <v>1700629</v>
      </c>
      <c r="F659" s="13">
        <f t="shared" si="230"/>
        <v>0.79464040401397307</v>
      </c>
    </row>
    <row r="660" spans="1:6" ht="23.1" customHeight="1" x14ac:dyDescent="0.25">
      <c r="A660" s="22"/>
      <c r="B660" s="22" t="s">
        <v>6</v>
      </c>
      <c r="C660" s="12">
        <f t="shared" ref="C660:E660" si="233">SUM(C661)</f>
        <v>207</v>
      </c>
      <c r="D660" s="12">
        <f t="shared" si="233"/>
        <v>188803</v>
      </c>
      <c r="E660" s="12">
        <f t="shared" si="233"/>
        <v>145189</v>
      </c>
      <c r="F660" s="13">
        <f t="shared" si="230"/>
        <v>0.7689973146613136</v>
      </c>
    </row>
    <row r="661" spans="1:6" ht="15" customHeight="1" x14ac:dyDescent="0.25">
      <c r="A661" s="15"/>
      <c r="B661" s="24" t="s">
        <v>1254</v>
      </c>
      <c r="C661" s="20">
        <v>207</v>
      </c>
      <c r="D661" s="20">
        <v>188803</v>
      </c>
      <c r="E661" s="16">
        <v>145189</v>
      </c>
      <c r="F661" s="18">
        <f t="shared" si="230"/>
        <v>0.7689973146613136</v>
      </c>
    </row>
    <row r="662" spans="1:6" ht="23.1" customHeight="1" x14ac:dyDescent="0.25">
      <c r="A662" s="22"/>
      <c r="B662" s="22" t="s">
        <v>7</v>
      </c>
      <c r="C662" s="12">
        <f t="shared" ref="C662" si="234">SUM(C663:C665)</f>
        <v>400</v>
      </c>
      <c r="D662" s="12">
        <f t="shared" ref="D662:E662" si="235">SUM(D663:D665)</f>
        <v>350865</v>
      </c>
      <c r="E662" s="12">
        <f t="shared" si="235"/>
        <v>290509</v>
      </c>
      <c r="F662" s="13">
        <f t="shared" si="230"/>
        <v>0.82797942228492438</v>
      </c>
    </row>
    <row r="663" spans="1:6" ht="15" customHeight="1" x14ac:dyDescent="0.25">
      <c r="A663" s="15">
        <v>1</v>
      </c>
      <c r="B663" s="15" t="s">
        <v>429</v>
      </c>
      <c r="C663" s="20">
        <v>59</v>
      </c>
      <c r="D663" s="20">
        <v>47245</v>
      </c>
      <c r="E663" s="20">
        <v>37502</v>
      </c>
      <c r="F663" s="18">
        <f t="shared" si="230"/>
        <v>0.79377711927188066</v>
      </c>
    </row>
    <row r="664" spans="1:6" ht="15" customHeight="1" x14ac:dyDescent="0.25">
      <c r="A664" s="15">
        <v>2</v>
      </c>
      <c r="B664" s="15" t="s">
        <v>430</v>
      </c>
      <c r="C664" s="20">
        <v>83</v>
      </c>
      <c r="D664" s="20">
        <v>73968</v>
      </c>
      <c r="E664" s="20">
        <v>62132</v>
      </c>
      <c r="F664" s="18">
        <f t="shared" si="230"/>
        <v>0.83998485831711012</v>
      </c>
    </row>
    <row r="665" spans="1:6" ht="15" customHeight="1" x14ac:dyDescent="0.25">
      <c r="A665" s="15"/>
      <c r="B665" s="24" t="s">
        <v>1384</v>
      </c>
      <c r="C665" s="20">
        <v>258</v>
      </c>
      <c r="D665" s="20">
        <v>229652</v>
      </c>
      <c r="E665" s="20">
        <v>190875</v>
      </c>
      <c r="F665" s="18">
        <f t="shared" si="230"/>
        <v>0.83114886872311144</v>
      </c>
    </row>
    <row r="666" spans="1:6" ht="23.1" customHeight="1" x14ac:dyDescent="0.25">
      <c r="A666" s="22"/>
      <c r="B666" s="22" t="s">
        <v>8</v>
      </c>
      <c r="C666" s="14">
        <f t="shared" ref="C666" si="236">SUM(C667:C673)</f>
        <v>495</v>
      </c>
      <c r="D666" s="14">
        <f t="shared" ref="D666:E666" si="237">SUM(D667:D673)</f>
        <v>372861</v>
      </c>
      <c r="E666" s="14">
        <f t="shared" si="237"/>
        <v>314502</v>
      </c>
      <c r="F666" s="13">
        <f t="shared" si="230"/>
        <v>0.84348322833441958</v>
      </c>
    </row>
    <row r="667" spans="1:6" ht="15" customHeight="1" x14ac:dyDescent="0.25">
      <c r="A667" s="15">
        <v>1</v>
      </c>
      <c r="B667" s="15" t="s">
        <v>431</v>
      </c>
      <c r="C667" s="20">
        <v>44</v>
      </c>
      <c r="D667" s="20">
        <v>34979</v>
      </c>
      <c r="E667" s="16">
        <v>29919</v>
      </c>
      <c r="F667" s="18">
        <f t="shared" si="230"/>
        <v>0.85534177649446808</v>
      </c>
    </row>
    <row r="668" spans="1:6" ht="15" customHeight="1" x14ac:dyDescent="0.25">
      <c r="A668" s="15">
        <v>2</v>
      </c>
      <c r="B668" s="15" t="s">
        <v>432</v>
      </c>
      <c r="C668" s="20">
        <v>62</v>
      </c>
      <c r="D668" s="20">
        <v>52024</v>
      </c>
      <c r="E668" s="16">
        <v>41917</v>
      </c>
      <c r="F668" s="18">
        <f t="shared" si="230"/>
        <v>0.80572428110103034</v>
      </c>
    </row>
    <row r="669" spans="1:6" ht="15" customHeight="1" x14ac:dyDescent="0.25">
      <c r="A669" s="15">
        <v>3</v>
      </c>
      <c r="B669" s="15" t="s">
        <v>433</v>
      </c>
      <c r="C669" s="20">
        <v>43</v>
      </c>
      <c r="D669" s="20">
        <v>25797</v>
      </c>
      <c r="E669" s="16">
        <v>22190</v>
      </c>
      <c r="F669" s="18">
        <f t="shared" si="230"/>
        <v>0.86017754002403379</v>
      </c>
    </row>
    <row r="670" spans="1:6" ht="15" customHeight="1" x14ac:dyDescent="0.25">
      <c r="A670" s="15">
        <v>4</v>
      </c>
      <c r="B670" s="15" t="s">
        <v>434</v>
      </c>
      <c r="C670" s="20">
        <v>77</v>
      </c>
      <c r="D670" s="20">
        <v>48278</v>
      </c>
      <c r="E670" s="16">
        <v>39502</v>
      </c>
      <c r="F670" s="18">
        <f t="shared" si="230"/>
        <v>0.81821947885165081</v>
      </c>
    </row>
    <row r="671" spans="1:6" ht="15" customHeight="1" x14ac:dyDescent="0.25">
      <c r="A671" s="15">
        <v>5</v>
      </c>
      <c r="B671" s="15" t="s">
        <v>227</v>
      </c>
      <c r="C671" s="20">
        <v>19</v>
      </c>
      <c r="D671" s="20">
        <v>13267</v>
      </c>
      <c r="E671" s="16">
        <v>11234</v>
      </c>
      <c r="F671" s="18">
        <f t="shared" si="230"/>
        <v>0.84676264415466951</v>
      </c>
    </row>
    <row r="672" spans="1:6" ht="15" customHeight="1" x14ac:dyDescent="0.25">
      <c r="A672" s="15">
        <v>6</v>
      </c>
      <c r="B672" s="15" t="s">
        <v>375</v>
      </c>
      <c r="C672" s="20">
        <v>36</v>
      </c>
      <c r="D672" s="20">
        <v>29285</v>
      </c>
      <c r="E672" s="16">
        <v>24339</v>
      </c>
      <c r="F672" s="18">
        <f t="shared" si="230"/>
        <v>0.83110807580672696</v>
      </c>
    </row>
    <row r="673" spans="1:6" ht="15" customHeight="1" x14ac:dyDescent="0.25">
      <c r="A673" s="15"/>
      <c r="B673" s="24" t="s">
        <v>1385</v>
      </c>
      <c r="C673" s="20">
        <v>214</v>
      </c>
      <c r="D673" s="20">
        <v>169231</v>
      </c>
      <c r="E673" s="16">
        <v>145401</v>
      </c>
      <c r="F673" s="18">
        <f t="shared" si="230"/>
        <v>0.85918655565469682</v>
      </c>
    </row>
    <row r="674" spans="1:6" ht="23.1" customHeight="1" x14ac:dyDescent="0.25">
      <c r="A674" s="22"/>
      <c r="B674" s="22" t="s">
        <v>9</v>
      </c>
      <c r="C674" s="12">
        <f t="shared" ref="C674" si="238">SUM(C675:C690)</f>
        <v>565</v>
      </c>
      <c r="D674" s="12">
        <f t="shared" ref="D674:E674" si="239">SUM(D675:D690)</f>
        <v>403696</v>
      </c>
      <c r="E674" s="12">
        <f t="shared" si="239"/>
        <v>324990</v>
      </c>
      <c r="F674" s="13">
        <f t="shared" si="230"/>
        <v>0.8050364630811303</v>
      </c>
    </row>
    <row r="675" spans="1:6" ht="15" customHeight="1" x14ac:dyDescent="0.25">
      <c r="A675" s="15">
        <v>1</v>
      </c>
      <c r="B675" s="15" t="s">
        <v>435</v>
      </c>
      <c r="C675" s="20">
        <v>32</v>
      </c>
      <c r="D675" s="20">
        <v>21190</v>
      </c>
      <c r="E675" s="16">
        <v>15556</v>
      </c>
      <c r="F675" s="18">
        <f t="shared" si="230"/>
        <v>0.73411986786219918</v>
      </c>
    </row>
    <row r="676" spans="1:6" ht="15" customHeight="1" x14ac:dyDescent="0.25">
      <c r="A676" s="15">
        <v>2</v>
      </c>
      <c r="B676" s="15" t="s">
        <v>436</v>
      </c>
      <c r="C676" s="20">
        <v>25</v>
      </c>
      <c r="D676" s="20">
        <v>14985</v>
      </c>
      <c r="E676" s="16">
        <v>10765</v>
      </c>
      <c r="F676" s="18">
        <f t="shared" si="230"/>
        <v>0.71838505171838507</v>
      </c>
    </row>
    <row r="677" spans="1:6" ht="15" customHeight="1" x14ac:dyDescent="0.25">
      <c r="A677" s="15">
        <v>3</v>
      </c>
      <c r="B677" s="15" t="s">
        <v>437</v>
      </c>
      <c r="C677" s="20">
        <v>22</v>
      </c>
      <c r="D677" s="20">
        <v>17165</v>
      </c>
      <c r="E677" s="16">
        <v>13536</v>
      </c>
      <c r="F677" s="18">
        <f t="shared" si="230"/>
        <v>0.78858141567142437</v>
      </c>
    </row>
    <row r="678" spans="1:6" ht="15" customHeight="1" x14ac:dyDescent="0.25">
      <c r="A678" s="15">
        <v>4</v>
      </c>
      <c r="B678" s="15" t="s">
        <v>438</v>
      </c>
      <c r="C678" s="20">
        <v>31</v>
      </c>
      <c r="D678" s="20">
        <v>15164</v>
      </c>
      <c r="E678" s="16">
        <v>12918</v>
      </c>
      <c r="F678" s="18">
        <f t="shared" si="230"/>
        <v>0.85188604589817984</v>
      </c>
    </row>
    <row r="679" spans="1:6" ht="15" customHeight="1" x14ac:dyDescent="0.25">
      <c r="A679" s="15">
        <v>5</v>
      </c>
      <c r="B679" s="15" t="s">
        <v>1255</v>
      </c>
      <c r="C679" s="20">
        <v>31</v>
      </c>
      <c r="D679" s="20">
        <v>23274</v>
      </c>
      <c r="E679" s="16">
        <v>19438</v>
      </c>
      <c r="F679" s="18">
        <f t="shared" si="230"/>
        <v>0.83518088854515771</v>
      </c>
    </row>
    <row r="680" spans="1:6" ht="15" customHeight="1" x14ac:dyDescent="0.25">
      <c r="A680" s="15">
        <v>6</v>
      </c>
      <c r="B680" s="15" t="s">
        <v>439</v>
      </c>
      <c r="C680" s="20">
        <v>20</v>
      </c>
      <c r="D680" s="20">
        <v>14935</v>
      </c>
      <c r="E680" s="16">
        <v>12232</v>
      </c>
      <c r="F680" s="18">
        <f t="shared" si="230"/>
        <v>0.81901573485102108</v>
      </c>
    </row>
    <row r="681" spans="1:6" ht="15" customHeight="1" x14ac:dyDescent="0.25">
      <c r="A681" s="15">
        <v>7</v>
      </c>
      <c r="B681" s="15" t="s">
        <v>440</v>
      </c>
      <c r="C681" s="20">
        <v>30</v>
      </c>
      <c r="D681" s="20">
        <v>18586</v>
      </c>
      <c r="E681" s="16">
        <v>15988</v>
      </c>
      <c r="F681" s="18">
        <f t="shared" si="230"/>
        <v>0.86021736791133108</v>
      </c>
    </row>
    <row r="682" spans="1:6" ht="15" customHeight="1" x14ac:dyDescent="0.25">
      <c r="A682" s="15">
        <v>8</v>
      </c>
      <c r="B682" s="15" t="s">
        <v>441</v>
      </c>
      <c r="C682" s="20">
        <v>44</v>
      </c>
      <c r="D682" s="20">
        <v>21004</v>
      </c>
      <c r="E682" s="16">
        <v>17783</v>
      </c>
      <c r="F682" s="18">
        <f t="shared" si="230"/>
        <v>0.84664825747476669</v>
      </c>
    </row>
    <row r="683" spans="1:6" ht="15" customHeight="1" x14ac:dyDescent="0.25">
      <c r="A683" s="15">
        <v>9</v>
      </c>
      <c r="B683" s="15" t="s">
        <v>442</v>
      </c>
      <c r="C683" s="20">
        <v>22</v>
      </c>
      <c r="D683" s="20">
        <v>18280</v>
      </c>
      <c r="E683" s="16">
        <v>14141</v>
      </c>
      <c r="F683" s="18">
        <f t="shared" si="230"/>
        <v>0.77357768052516407</v>
      </c>
    </row>
    <row r="684" spans="1:6" ht="15" customHeight="1" x14ac:dyDescent="0.25">
      <c r="A684" s="15">
        <v>10</v>
      </c>
      <c r="B684" s="15" t="s">
        <v>443</v>
      </c>
      <c r="C684" s="20">
        <v>45</v>
      </c>
      <c r="D684" s="20">
        <v>33055</v>
      </c>
      <c r="E684" s="16">
        <v>25189</v>
      </c>
      <c r="F684" s="18">
        <f t="shared" si="230"/>
        <v>0.7620329753441234</v>
      </c>
    </row>
    <row r="685" spans="1:6" ht="15" customHeight="1" x14ac:dyDescent="0.25">
      <c r="A685" s="15">
        <v>11</v>
      </c>
      <c r="B685" s="15" t="s">
        <v>444</v>
      </c>
      <c r="C685" s="20">
        <v>25</v>
      </c>
      <c r="D685" s="20">
        <v>17532</v>
      </c>
      <c r="E685" s="16">
        <v>13498</v>
      </c>
      <c r="F685" s="18">
        <f t="shared" si="230"/>
        <v>0.76990645676477298</v>
      </c>
    </row>
    <row r="686" spans="1:6" ht="15" customHeight="1" x14ac:dyDescent="0.25">
      <c r="A686" s="15">
        <v>12</v>
      </c>
      <c r="B686" s="15" t="s">
        <v>445</v>
      </c>
      <c r="C686" s="20">
        <v>24</v>
      </c>
      <c r="D686" s="20">
        <v>17787</v>
      </c>
      <c r="E686" s="16">
        <v>13648</v>
      </c>
      <c r="F686" s="18">
        <f t="shared" si="230"/>
        <v>0.76730196210715695</v>
      </c>
    </row>
    <row r="687" spans="1:6" ht="15" customHeight="1" x14ac:dyDescent="0.25">
      <c r="A687" s="15">
        <v>13</v>
      </c>
      <c r="B687" s="15" t="s">
        <v>446</v>
      </c>
      <c r="C687" s="20">
        <v>48</v>
      </c>
      <c r="D687" s="20">
        <v>39713</v>
      </c>
      <c r="E687" s="16">
        <v>30517</v>
      </c>
      <c r="F687" s="18">
        <f t="shared" si="230"/>
        <v>0.76843854657165156</v>
      </c>
    </row>
    <row r="688" spans="1:6" ht="15" customHeight="1" x14ac:dyDescent="0.25">
      <c r="A688" s="15">
        <v>14</v>
      </c>
      <c r="B688" s="15" t="s">
        <v>447</v>
      </c>
      <c r="C688" s="20">
        <v>37</v>
      </c>
      <c r="D688" s="20">
        <v>26242</v>
      </c>
      <c r="E688" s="16">
        <v>21621</v>
      </c>
      <c r="F688" s="18">
        <f t="shared" si="230"/>
        <v>0.82390823870131846</v>
      </c>
    </row>
    <row r="689" spans="1:6" ht="15" customHeight="1" x14ac:dyDescent="0.25">
      <c r="A689" s="15">
        <v>15</v>
      </c>
      <c r="B689" s="15" t="s">
        <v>1539</v>
      </c>
      <c r="C689" s="20">
        <v>95</v>
      </c>
      <c r="D689" s="20">
        <v>80643</v>
      </c>
      <c r="E689" s="16">
        <v>67820</v>
      </c>
      <c r="F689" s="18">
        <f t="shared" ref="F689:F690" si="240">SUM(E689/D689)</f>
        <v>0.84099053854643302</v>
      </c>
    </row>
    <row r="690" spans="1:6" ht="15" customHeight="1" x14ac:dyDescent="0.25">
      <c r="A690" s="15">
        <v>16</v>
      </c>
      <c r="B690" s="15" t="s">
        <v>140</v>
      </c>
      <c r="C690" s="20">
        <v>34</v>
      </c>
      <c r="D690" s="20">
        <v>24141</v>
      </c>
      <c r="E690" s="16">
        <v>20340</v>
      </c>
      <c r="F690" s="18">
        <f t="shared" si="240"/>
        <v>0.84255001864048717</v>
      </c>
    </row>
    <row r="691" spans="1:6" ht="23.1" customHeight="1" x14ac:dyDescent="0.25">
      <c r="A691" s="15"/>
      <c r="B691" s="22" t="s">
        <v>22</v>
      </c>
      <c r="C691" s="16"/>
      <c r="D691" s="16"/>
      <c r="E691" s="16"/>
      <c r="F691" s="18"/>
    </row>
    <row r="692" spans="1:6" ht="15" customHeight="1" x14ac:dyDescent="0.25">
      <c r="A692" s="15"/>
      <c r="B692" s="24" t="s">
        <v>1386</v>
      </c>
      <c r="C692" s="20">
        <v>268</v>
      </c>
      <c r="D692" s="20">
        <v>227474</v>
      </c>
      <c r="E692" s="16">
        <v>172110</v>
      </c>
      <c r="F692" s="18">
        <f>SUM(E692/D692)</f>
        <v>0.7566139426923516</v>
      </c>
    </row>
    <row r="693" spans="1:6" ht="23.1" customHeight="1" x14ac:dyDescent="0.25">
      <c r="A693" s="15"/>
      <c r="B693" s="22" t="s">
        <v>22</v>
      </c>
      <c r="C693" s="16"/>
      <c r="D693" s="16"/>
      <c r="E693" s="16"/>
      <c r="F693" s="18"/>
    </row>
    <row r="694" spans="1:6" ht="15" customHeight="1" x14ac:dyDescent="0.25">
      <c r="A694" s="15"/>
      <c r="B694" s="24" t="s">
        <v>1387</v>
      </c>
      <c r="C694" s="20">
        <v>427</v>
      </c>
      <c r="D694" s="20">
        <v>364766</v>
      </c>
      <c r="E694" s="16">
        <v>267227</v>
      </c>
      <c r="F694" s="18">
        <f t="shared" ref="F694:F727" si="241">SUM(E694/D694)</f>
        <v>0.73259843296798499</v>
      </c>
    </row>
    <row r="695" spans="1:6" ht="23.1" customHeight="1" x14ac:dyDescent="0.25">
      <c r="A695" s="15"/>
      <c r="B695" s="22" t="s">
        <v>22</v>
      </c>
      <c r="C695" s="16"/>
      <c r="D695" s="16"/>
      <c r="E695" s="16"/>
      <c r="F695" s="18"/>
    </row>
    <row r="696" spans="1:6" ht="15" customHeight="1" x14ac:dyDescent="0.25">
      <c r="A696" s="15"/>
      <c r="B696" s="24" t="s">
        <v>1383</v>
      </c>
      <c r="C696" s="20">
        <v>264</v>
      </c>
      <c r="D696" s="20">
        <v>231659</v>
      </c>
      <c r="E696" s="16">
        <v>186102</v>
      </c>
      <c r="F696" s="18">
        <f>SUM(E696/D696)</f>
        <v>0.80334457111530311</v>
      </c>
    </row>
    <row r="697" spans="1:6" ht="23.1" customHeight="1" x14ac:dyDescent="0.25">
      <c r="A697" s="22"/>
      <c r="B697" s="22" t="s">
        <v>448</v>
      </c>
      <c r="C697" s="14">
        <f t="shared" ref="C697" si="242">SUM(C698+C712+C719+C732)</f>
        <v>2207</v>
      </c>
      <c r="D697" s="14">
        <f t="shared" ref="D697:E697" si="243">SUM(D698+D712+D719+D732)</f>
        <v>1496156</v>
      </c>
      <c r="E697" s="14">
        <f t="shared" si="243"/>
        <v>1252204</v>
      </c>
      <c r="F697" s="13">
        <f t="shared" si="241"/>
        <v>0.83694748408588404</v>
      </c>
    </row>
    <row r="698" spans="1:6" ht="23.1" customHeight="1" x14ac:dyDescent="0.25">
      <c r="A698" s="22"/>
      <c r="B698" s="22" t="s">
        <v>6</v>
      </c>
      <c r="C698" s="14">
        <f t="shared" ref="C698" si="244">SUM(C699:C711)</f>
        <v>556</v>
      </c>
      <c r="D698" s="14">
        <f t="shared" ref="D698:E698" si="245">SUM(D699:D711)</f>
        <v>377065</v>
      </c>
      <c r="E698" s="14">
        <f t="shared" si="245"/>
        <v>317255</v>
      </c>
      <c r="F698" s="13">
        <f t="shared" si="241"/>
        <v>0.84138013339875084</v>
      </c>
    </row>
    <row r="699" spans="1:6" ht="15" customHeight="1" x14ac:dyDescent="0.25">
      <c r="A699" s="15">
        <v>1</v>
      </c>
      <c r="B699" s="15" t="s">
        <v>449</v>
      </c>
      <c r="C699" s="27">
        <v>20</v>
      </c>
      <c r="D699" s="27">
        <v>14272</v>
      </c>
      <c r="E699" s="16">
        <v>11668</v>
      </c>
      <c r="F699" s="18">
        <f t="shared" si="241"/>
        <v>0.8175448430493274</v>
      </c>
    </row>
    <row r="700" spans="1:6" ht="15" customHeight="1" x14ac:dyDescent="0.25">
      <c r="A700" s="15">
        <v>2</v>
      </c>
      <c r="B700" s="15" t="s">
        <v>450</v>
      </c>
      <c r="C700" s="20">
        <v>47</v>
      </c>
      <c r="D700" s="20">
        <v>26151</v>
      </c>
      <c r="E700" s="16">
        <v>22270</v>
      </c>
      <c r="F700" s="18">
        <f t="shared" si="241"/>
        <v>0.85159267332033195</v>
      </c>
    </row>
    <row r="701" spans="1:6" ht="15" customHeight="1" x14ac:dyDescent="0.25">
      <c r="A701" s="15">
        <v>3</v>
      </c>
      <c r="B701" s="15" t="s">
        <v>169</v>
      </c>
      <c r="C701" s="20">
        <v>67</v>
      </c>
      <c r="D701" s="20">
        <v>47047</v>
      </c>
      <c r="E701" s="16">
        <v>40423</v>
      </c>
      <c r="F701" s="18">
        <f t="shared" si="241"/>
        <v>0.85920462516207197</v>
      </c>
    </row>
    <row r="702" spans="1:6" ht="15" customHeight="1" x14ac:dyDescent="0.25">
      <c r="A702" s="15">
        <v>4</v>
      </c>
      <c r="B702" s="15" t="s">
        <v>451</v>
      </c>
      <c r="C702" s="20">
        <v>10</v>
      </c>
      <c r="D702" s="20">
        <v>5629</v>
      </c>
      <c r="E702" s="16">
        <v>5067</v>
      </c>
      <c r="F702" s="18">
        <f t="shared" si="241"/>
        <v>0.90015988630307342</v>
      </c>
    </row>
    <row r="703" spans="1:6" ht="15" customHeight="1" x14ac:dyDescent="0.25">
      <c r="A703" s="15">
        <v>5</v>
      </c>
      <c r="B703" s="15" t="s">
        <v>452</v>
      </c>
      <c r="C703" s="27">
        <v>53</v>
      </c>
      <c r="D703" s="27">
        <v>36961</v>
      </c>
      <c r="E703" s="16">
        <v>29528</v>
      </c>
      <c r="F703" s="18">
        <f t="shared" si="241"/>
        <v>0.7988961337626147</v>
      </c>
    </row>
    <row r="704" spans="1:6" ht="15" customHeight="1" x14ac:dyDescent="0.25">
      <c r="A704" s="15">
        <v>6</v>
      </c>
      <c r="B704" s="15" t="s">
        <v>453</v>
      </c>
      <c r="C704" s="27">
        <v>68</v>
      </c>
      <c r="D704" s="27">
        <v>48534</v>
      </c>
      <c r="E704" s="16">
        <v>40980</v>
      </c>
      <c r="F704" s="18">
        <f t="shared" si="241"/>
        <v>0.84435653356409934</v>
      </c>
    </row>
    <row r="705" spans="1:6" ht="15" customHeight="1" x14ac:dyDescent="0.25">
      <c r="A705" s="23">
        <v>7</v>
      </c>
      <c r="B705" s="15" t="s">
        <v>454</v>
      </c>
      <c r="C705" s="27">
        <v>64</v>
      </c>
      <c r="D705" s="27">
        <v>50829</v>
      </c>
      <c r="E705" s="16">
        <v>41504</v>
      </c>
      <c r="F705" s="18">
        <f t="shared" si="241"/>
        <v>0.81654173798422158</v>
      </c>
    </row>
    <row r="706" spans="1:6" ht="15" customHeight="1" x14ac:dyDescent="0.25">
      <c r="A706" s="15">
        <v>8</v>
      </c>
      <c r="B706" s="15" t="s">
        <v>455</v>
      </c>
      <c r="C706" s="27">
        <v>20</v>
      </c>
      <c r="D706" s="27">
        <v>11952</v>
      </c>
      <c r="E706" s="16">
        <v>10198</v>
      </c>
      <c r="F706" s="18">
        <f t="shared" si="241"/>
        <v>0.85324631860776434</v>
      </c>
    </row>
    <row r="707" spans="1:6" ht="15" customHeight="1" x14ac:dyDescent="0.25">
      <c r="A707" s="15">
        <v>9</v>
      </c>
      <c r="B707" s="15" t="s">
        <v>456</v>
      </c>
      <c r="C707" s="27">
        <v>15</v>
      </c>
      <c r="D707" s="27">
        <v>8734</v>
      </c>
      <c r="E707" s="16">
        <v>7018</v>
      </c>
      <c r="F707" s="18">
        <f t="shared" si="241"/>
        <v>0.80352644836272036</v>
      </c>
    </row>
    <row r="708" spans="1:6" ht="15" customHeight="1" x14ac:dyDescent="0.25">
      <c r="A708" s="15">
        <v>10</v>
      </c>
      <c r="B708" s="15" t="s">
        <v>457</v>
      </c>
      <c r="C708" s="20">
        <v>32</v>
      </c>
      <c r="D708" s="20">
        <v>21072</v>
      </c>
      <c r="E708" s="16">
        <v>17495</v>
      </c>
      <c r="F708" s="18">
        <f t="shared" si="241"/>
        <v>0.83024867122247537</v>
      </c>
    </row>
    <row r="709" spans="1:6" ht="15" customHeight="1" x14ac:dyDescent="0.25">
      <c r="A709" s="15">
        <v>11</v>
      </c>
      <c r="B709" s="15" t="s">
        <v>458</v>
      </c>
      <c r="C709" s="20">
        <v>35</v>
      </c>
      <c r="D709" s="20">
        <v>25009</v>
      </c>
      <c r="E709" s="16">
        <v>21000</v>
      </c>
      <c r="F709" s="18">
        <f t="shared" si="241"/>
        <v>0.83969770882482309</v>
      </c>
    </row>
    <row r="710" spans="1:6" ht="15" customHeight="1" x14ac:dyDescent="0.25">
      <c r="A710" s="15">
        <v>12</v>
      </c>
      <c r="B710" s="15" t="s">
        <v>459</v>
      </c>
      <c r="C710" s="20">
        <v>18</v>
      </c>
      <c r="D710" s="20">
        <v>10179</v>
      </c>
      <c r="E710" s="16">
        <v>8250</v>
      </c>
      <c r="F710" s="18">
        <f t="shared" si="241"/>
        <v>0.81049218980253468</v>
      </c>
    </row>
    <row r="711" spans="1:6" ht="15" customHeight="1" x14ac:dyDescent="0.25">
      <c r="A711" s="15"/>
      <c r="B711" s="24" t="s">
        <v>1388</v>
      </c>
      <c r="C711" s="20">
        <v>107</v>
      </c>
      <c r="D711" s="20">
        <v>70696</v>
      </c>
      <c r="E711" s="16">
        <v>61854</v>
      </c>
      <c r="F711" s="18">
        <f t="shared" si="241"/>
        <v>0.87492927464071513</v>
      </c>
    </row>
    <row r="712" spans="1:6" ht="23.1" customHeight="1" x14ac:dyDescent="0.25">
      <c r="A712" s="22"/>
      <c r="B712" s="22" t="s">
        <v>7</v>
      </c>
      <c r="C712" s="14">
        <f t="shared" ref="C712" si="246">SUM(C713:C718)</f>
        <v>621</v>
      </c>
      <c r="D712" s="14">
        <f t="shared" ref="D712:E712" si="247">SUM(D713:D718)</f>
        <v>516199</v>
      </c>
      <c r="E712" s="14">
        <f t="shared" si="247"/>
        <v>444858</v>
      </c>
      <c r="F712" s="13">
        <f t="shared" si="241"/>
        <v>0.86179554784104584</v>
      </c>
    </row>
    <row r="713" spans="1:6" ht="15" customHeight="1" x14ac:dyDescent="0.25">
      <c r="A713" s="15">
        <v>1</v>
      </c>
      <c r="B713" s="15" t="s">
        <v>385</v>
      </c>
      <c r="C713" s="19">
        <v>104</v>
      </c>
      <c r="D713" s="19">
        <v>89174</v>
      </c>
      <c r="E713" s="17">
        <v>76408</v>
      </c>
      <c r="F713" s="18">
        <f t="shared" si="241"/>
        <v>0.85684168031040442</v>
      </c>
    </row>
    <row r="714" spans="1:6" ht="15" customHeight="1" x14ac:dyDescent="0.25">
      <c r="A714" s="15">
        <v>2</v>
      </c>
      <c r="B714" s="15" t="s">
        <v>41</v>
      </c>
      <c r="C714" s="19">
        <v>30</v>
      </c>
      <c r="D714" s="19">
        <v>22229</v>
      </c>
      <c r="E714" s="16">
        <v>19276</v>
      </c>
      <c r="F714" s="18">
        <f t="shared" si="241"/>
        <v>0.86715551756714204</v>
      </c>
    </row>
    <row r="715" spans="1:6" ht="15" customHeight="1" x14ac:dyDescent="0.25">
      <c r="A715" s="15">
        <v>3</v>
      </c>
      <c r="B715" s="15" t="s">
        <v>344</v>
      </c>
      <c r="C715" s="19">
        <v>37</v>
      </c>
      <c r="D715" s="19">
        <v>26335</v>
      </c>
      <c r="E715" s="16">
        <v>23200</v>
      </c>
      <c r="F715" s="18">
        <f t="shared" si="241"/>
        <v>0.88095690146193284</v>
      </c>
    </row>
    <row r="716" spans="1:6" ht="15" customHeight="1" x14ac:dyDescent="0.25">
      <c r="A716" s="15">
        <v>4</v>
      </c>
      <c r="B716" s="15" t="s">
        <v>460</v>
      </c>
      <c r="C716" s="19">
        <v>130</v>
      </c>
      <c r="D716" s="19">
        <v>105746</v>
      </c>
      <c r="E716" s="16">
        <v>92002</v>
      </c>
      <c r="F716" s="18">
        <f t="shared" si="241"/>
        <v>0.87002818073496868</v>
      </c>
    </row>
    <row r="717" spans="1:6" ht="15" customHeight="1" x14ac:dyDescent="0.25">
      <c r="A717" s="15">
        <v>5</v>
      </c>
      <c r="B717" s="15" t="s">
        <v>461</v>
      </c>
      <c r="C717" s="19">
        <v>100</v>
      </c>
      <c r="D717" s="19">
        <v>73299</v>
      </c>
      <c r="E717" s="16">
        <v>63884</v>
      </c>
      <c r="F717" s="18">
        <f t="shared" si="241"/>
        <v>0.87155350004774967</v>
      </c>
    </row>
    <row r="718" spans="1:6" ht="15" customHeight="1" x14ac:dyDescent="0.25">
      <c r="A718" s="15"/>
      <c r="B718" s="24" t="s">
        <v>1389</v>
      </c>
      <c r="C718" s="19">
        <v>220</v>
      </c>
      <c r="D718" s="19">
        <v>199416</v>
      </c>
      <c r="E718" s="16">
        <v>170088</v>
      </c>
      <c r="F718" s="18">
        <f t="shared" si="241"/>
        <v>0.85293055722710309</v>
      </c>
    </row>
    <row r="719" spans="1:6" ht="23.1" customHeight="1" x14ac:dyDescent="0.25">
      <c r="A719" s="22"/>
      <c r="B719" s="22" t="s">
        <v>8</v>
      </c>
      <c r="C719" s="14">
        <f t="shared" ref="C719" si="248">SUM(C720:C731)</f>
        <v>490</v>
      </c>
      <c r="D719" s="14">
        <f t="shared" ref="D719:E719" si="249">SUM(D720:D731)</f>
        <v>304144</v>
      </c>
      <c r="E719" s="14">
        <f t="shared" si="249"/>
        <v>253457</v>
      </c>
      <c r="F719" s="13">
        <f t="shared" si="241"/>
        <v>0.83334538902625077</v>
      </c>
    </row>
    <row r="720" spans="1:6" ht="15" customHeight="1" x14ac:dyDescent="0.25">
      <c r="A720" s="15">
        <v>1</v>
      </c>
      <c r="B720" s="15" t="s">
        <v>462</v>
      </c>
      <c r="C720" s="20">
        <v>19</v>
      </c>
      <c r="D720" s="20">
        <v>9696</v>
      </c>
      <c r="E720" s="16">
        <v>8527</v>
      </c>
      <c r="F720" s="18">
        <f t="shared" si="241"/>
        <v>0.87943481848184824</v>
      </c>
    </row>
    <row r="721" spans="1:6" ht="15" customHeight="1" x14ac:dyDescent="0.25">
      <c r="A721" s="15">
        <v>2</v>
      </c>
      <c r="B721" s="15" t="s">
        <v>463</v>
      </c>
      <c r="C721" s="20">
        <v>42</v>
      </c>
      <c r="D721" s="20">
        <v>22993</v>
      </c>
      <c r="E721" s="16">
        <v>19547</v>
      </c>
      <c r="F721" s="18">
        <f t="shared" si="241"/>
        <v>0.85012829991736616</v>
      </c>
    </row>
    <row r="722" spans="1:6" ht="15" customHeight="1" x14ac:dyDescent="0.25">
      <c r="A722" s="15">
        <v>3</v>
      </c>
      <c r="B722" s="15" t="s">
        <v>464</v>
      </c>
      <c r="C722" s="27">
        <v>68</v>
      </c>
      <c r="D722" s="27">
        <v>45870</v>
      </c>
      <c r="E722" s="16">
        <v>38913</v>
      </c>
      <c r="F722" s="18">
        <f t="shared" si="241"/>
        <v>0.8483322432962721</v>
      </c>
    </row>
    <row r="723" spans="1:6" ht="15" customHeight="1" x14ac:dyDescent="0.25">
      <c r="A723" s="15">
        <v>4</v>
      </c>
      <c r="B723" s="15" t="s">
        <v>465</v>
      </c>
      <c r="C723" s="20">
        <v>34</v>
      </c>
      <c r="D723" s="20">
        <v>18549</v>
      </c>
      <c r="E723" s="16">
        <v>15527</v>
      </c>
      <c r="F723" s="18">
        <f t="shared" si="241"/>
        <v>0.83708016604668711</v>
      </c>
    </row>
    <row r="724" spans="1:6" ht="15" customHeight="1" x14ac:dyDescent="0.25">
      <c r="A724" s="15">
        <v>5</v>
      </c>
      <c r="B724" s="15" t="s">
        <v>466</v>
      </c>
      <c r="C724" s="27">
        <v>34</v>
      </c>
      <c r="D724" s="27">
        <v>18061</v>
      </c>
      <c r="E724" s="16">
        <v>14723</v>
      </c>
      <c r="F724" s="18">
        <f t="shared" si="241"/>
        <v>0.81518188361663257</v>
      </c>
    </row>
    <row r="725" spans="1:6" ht="15" customHeight="1" x14ac:dyDescent="0.25">
      <c r="A725" s="15">
        <v>6</v>
      </c>
      <c r="B725" s="15" t="s">
        <v>467</v>
      </c>
      <c r="C725" s="27">
        <v>52</v>
      </c>
      <c r="D725" s="27">
        <v>36143</v>
      </c>
      <c r="E725" s="16">
        <v>30039</v>
      </c>
      <c r="F725" s="18">
        <f t="shared" si="241"/>
        <v>0.83111529203441881</v>
      </c>
    </row>
    <row r="726" spans="1:6" ht="15" customHeight="1" x14ac:dyDescent="0.25">
      <c r="A726" s="15">
        <v>7</v>
      </c>
      <c r="B726" s="15" t="s">
        <v>468</v>
      </c>
      <c r="C726" s="27">
        <v>27</v>
      </c>
      <c r="D726" s="27">
        <v>16771</v>
      </c>
      <c r="E726" s="16">
        <v>13923</v>
      </c>
      <c r="F726" s="18">
        <f t="shared" si="241"/>
        <v>0.8301830540814501</v>
      </c>
    </row>
    <row r="727" spans="1:6" ht="15" customHeight="1" x14ac:dyDescent="0.25">
      <c r="A727" s="15">
        <v>8</v>
      </c>
      <c r="B727" s="15" t="s">
        <v>469</v>
      </c>
      <c r="C727" s="27">
        <v>40</v>
      </c>
      <c r="D727" s="27">
        <v>17112</v>
      </c>
      <c r="E727" s="28">
        <v>15339</v>
      </c>
      <c r="F727" s="18">
        <f t="shared" si="241"/>
        <v>0.89638849929873776</v>
      </c>
    </row>
    <row r="728" spans="1:6" ht="15" customHeight="1" x14ac:dyDescent="0.25">
      <c r="A728" s="15">
        <v>9</v>
      </c>
      <c r="B728" s="15" t="s">
        <v>470</v>
      </c>
      <c r="C728" s="20">
        <v>28</v>
      </c>
      <c r="D728" s="20">
        <v>20537</v>
      </c>
      <c r="E728" s="16">
        <v>16825</v>
      </c>
      <c r="F728" s="18">
        <f t="shared" ref="F728:F757" si="250">SUM(E728/D728)</f>
        <v>0.81925305546087546</v>
      </c>
    </row>
    <row r="729" spans="1:6" ht="15" customHeight="1" x14ac:dyDescent="0.25">
      <c r="A729" s="15">
        <v>10</v>
      </c>
      <c r="B729" s="15" t="s">
        <v>1390</v>
      </c>
      <c r="C729" s="20">
        <v>58</v>
      </c>
      <c r="D729" s="20">
        <v>46153</v>
      </c>
      <c r="E729" s="16">
        <v>35377</v>
      </c>
      <c r="F729" s="18">
        <f t="shared" si="250"/>
        <v>0.76651571945485664</v>
      </c>
    </row>
    <row r="730" spans="1:6" ht="15" customHeight="1" x14ac:dyDescent="0.25">
      <c r="A730" s="15">
        <v>11</v>
      </c>
      <c r="B730" s="15" t="s">
        <v>389</v>
      </c>
      <c r="C730" s="20">
        <v>48</v>
      </c>
      <c r="D730" s="20">
        <v>33152</v>
      </c>
      <c r="E730" s="16">
        <v>27831</v>
      </c>
      <c r="F730" s="18">
        <f t="shared" si="250"/>
        <v>0.83949686293436299</v>
      </c>
    </row>
    <row r="731" spans="1:6" ht="15" customHeight="1" x14ac:dyDescent="0.25">
      <c r="A731" s="15">
        <v>12</v>
      </c>
      <c r="B731" s="15" t="s">
        <v>471</v>
      </c>
      <c r="C731" s="20">
        <v>40</v>
      </c>
      <c r="D731" s="20">
        <v>19107</v>
      </c>
      <c r="E731" s="16">
        <v>16886</v>
      </c>
      <c r="F731" s="18">
        <f t="shared" si="250"/>
        <v>0.88375987857853144</v>
      </c>
    </row>
    <row r="732" spans="1:6" ht="23.1" customHeight="1" x14ac:dyDescent="0.25">
      <c r="A732" s="22"/>
      <c r="B732" s="22" t="s">
        <v>9</v>
      </c>
      <c r="C732" s="14">
        <f t="shared" ref="C732" si="251">SUM(C733:C742)</f>
        <v>540</v>
      </c>
      <c r="D732" s="14">
        <f t="shared" ref="D732:E732" si="252">SUM(D733:D742)</f>
        <v>298748</v>
      </c>
      <c r="E732" s="14">
        <f t="shared" si="252"/>
        <v>236634</v>
      </c>
      <c r="F732" s="13">
        <f t="shared" si="250"/>
        <v>0.79208563739338844</v>
      </c>
    </row>
    <row r="733" spans="1:6" ht="15" customHeight="1" x14ac:dyDescent="0.25">
      <c r="A733" s="15">
        <v>1</v>
      </c>
      <c r="B733" s="15" t="s">
        <v>472</v>
      </c>
      <c r="C733" s="20">
        <v>21</v>
      </c>
      <c r="D733" s="20">
        <v>12023</v>
      </c>
      <c r="E733" s="16">
        <v>10165</v>
      </c>
      <c r="F733" s="18">
        <f t="shared" si="250"/>
        <v>0.84546286284621142</v>
      </c>
    </row>
    <row r="734" spans="1:6" ht="15" customHeight="1" x14ac:dyDescent="0.25">
      <c r="A734" s="15">
        <v>2</v>
      </c>
      <c r="B734" s="15" t="s">
        <v>473</v>
      </c>
      <c r="C734" s="20">
        <v>58</v>
      </c>
      <c r="D734" s="20">
        <v>37532</v>
      </c>
      <c r="E734" s="16">
        <v>31903</v>
      </c>
      <c r="F734" s="18">
        <f t="shared" si="250"/>
        <v>0.85002131514441015</v>
      </c>
    </row>
    <row r="735" spans="1:6" ht="15" customHeight="1" x14ac:dyDescent="0.25">
      <c r="A735" s="15">
        <v>3</v>
      </c>
      <c r="B735" s="15" t="s">
        <v>474</v>
      </c>
      <c r="C735" s="20">
        <v>93</v>
      </c>
      <c r="D735" s="20">
        <v>50587</v>
      </c>
      <c r="E735" s="16">
        <v>36539</v>
      </c>
      <c r="F735" s="18">
        <f t="shared" si="250"/>
        <v>0.72230019570245318</v>
      </c>
    </row>
    <row r="736" spans="1:6" ht="15" customHeight="1" x14ac:dyDescent="0.25">
      <c r="A736" s="15">
        <v>4</v>
      </c>
      <c r="B736" s="15" t="s">
        <v>475</v>
      </c>
      <c r="C736" s="20">
        <v>61</v>
      </c>
      <c r="D736" s="20">
        <v>27750</v>
      </c>
      <c r="E736" s="16">
        <v>20933</v>
      </c>
      <c r="F736" s="18">
        <f t="shared" si="250"/>
        <v>0.75434234234234232</v>
      </c>
    </row>
    <row r="737" spans="1:6" ht="15" customHeight="1" x14ac:dyDescent="0.25">
      <c r="A737" s="15">
        <v>5</v>
      </c>
      <c r="B737" s="15" t="s">
        <v>476</v>
      </c>
      <c r="C737" s="20">
        <v>80</v>
      </c>
      <c r="D737" s="20">
        <v>44765</v>
      </c>
      <c r="E737" s="16">
        <v>36769</v>
      </c>
      <c r="F737" s="18">
        <f t="shared" si="250"/>
        <v>0.82137830894672181</v>
      </c>
    </row>
    <row r="738" spans="1:6" ht="15" customHeight="1" x14ac:dyDescent="0.25">
      <c r="A738" s="15">
        <v>6</v>
      </c>
      <c r="B738" s="15" t="s">
        <v>477</v>
      </c>
      <c r="C738" s="27">
        <v>114</v>
      </c>
      <c r="D738" s="27">
        <v>59547</v>
      </c>
      <c r="E738" s="16">
        <v>46930</v>
      </c>
      <c r="F738" s="18">
        <f t="shared" si="250"/>
        <v>0.78811694963642165</v>
      </c>
    </row>
    <row r="739" spans="1:6" ht="15" customHeight="1" x14ac:dyDescent="0.25">
      <c r="A739" s="15">
        <v>7</v>
      </c>
      <c r="B739" s="15" t="s">
        <v>478</v>
      </c>
      <c r="C739" s="27">
        <v>18</v>
      </c>
      <c r="D739" s="27">
        <v>10030</v>
      </c>
      <c r="E739" s="16">
        <v>8672</v>
      </c>
      <c r="F739" s="18">
        <f t="shared" si="250"/>
        <v>0.86460618145563306</v>
      </c>
    </row>
    <row r="740" spans="1:6" ht="15" customHeight="1" x14ac:dyDescent="0.25">
      <c r="A740" s="15">
        <v>8</v>
      </c>
      <c r="B740" s="15" t="s">
        <v>313</v>
      </c>
      <c r="C740" s="20">
        <v>11</v>
      </c>
      <c r="D740" s="20">
        <v>8656</v>
      </c>
      <c r="E740" s="16">
        <v>7519</v>
      </c>
      <c r="F740" s="18">
        <f t="shared" si="250"/>
        <v>0.86864602587800366</v>
      </c>
    </row>
    <row r="741" spans="1:6" ht="15" customHeight="1" x14ac:dyDescent="0.25">
      <c r="A741" s="15">
        <v>9</v>
      </c>
      <c r="B741" s="15" t="s">
        <v>247</v>
      </c>
      <c r="C741" s="20">
        <v>26</v>
      </c>
      <c r="D741" s="20">
        <v>11698</v>
      </c>
      <c r="E741" s="16">
        <v>9881</v>
      </c>
      <c r="F741" s="18">
        <f t="shared" si="250"/>
        <v>0.84467430329970938</v>
      </c>
    </row>
    <row r="742" spans="1:6" ht="15" customHeight="1" x14ac:dyDescent="0.25">
      <c r="A742" s="15">
        <v>10</v>
      </c>
      <c r="B742" s="15" t="s">
        <v>479</v>
      </c>
      <c r="C742" s="20">
        <v>58</v>
      </c>
      <c r="D742" s="20">
        <v>36160</v>
      </c>
      <c r="E742" s="16">
        <v>27323</v>
      </c>
      <c r="F742" s="18">
        <f t="shared" si="250"/>
        <v>0.7556139380530974</v>
      </c>
    </row>
    <row r="743" spans="1:6" ht="23.1" customHeight="1" x14ac:dyDescent="0.25">
      <c r="A743" s="22"/>
      <c r="B743" s="22" t="s">
        <v>480</v>
      </c>
      <c r="C743" s="14">
        <f t="shared" ref="C743" si="253">C744+C749+C757+C759+C762</f>
        <v>1953</v>
      </c>
      <c r="D743" s="14">
        <f t="shared" ref="D743:E743" si="254">D744+D749+D757+D759+D762</f>
        <v>1671643</v>
      </c>
      <c r="E743" s="14">
        <f t="shared" si="254"/>
        <v>1275452</v>
      </c>
      <c r="F743" s="13">
        <f t="shared" si="250"/>
        <v>0.76299305533537964</v>
      </c>
    </row>
    <row r="744" spans="1:6" ht="23.1" customHeight="1" x14ac:dyDescent="0.25">
      <c r="A744" s="22"/>
      <c r="B744" s="22" t="s">
        <v>6</v>
      </c>
      <c r="C744" s="14">
        <f t="shared" ref="C744" si="255">SUM(C745:C748)</f>
        <v>677</v>
      </c>
      <c r="D744" s="14">
        <f t="shared" ref="D744:E744" si="256">SUM(D745:D748)</f>
        <v>555121</v>
      </c>
      <c r="E744" s="14">
        <f t="shared" si="256"/>
        <v>423100</v>
      </c>
      <c r="F744" s="13">
        <f t="shared" si="250"/>
        <v>0.76217617420346195</v>
      </c>
    </row>
    <row r="745" spans="1:6" ht="15" customHeight="1" x14ac:dyDescent="0.25">
      <c r="A745" s="15">
        <v>1</v>
      </c>
      <c r="B745" s="15" t="s">
        <v>481</v>
      </c>
      <c r="C745" s="20">
        <v>79</v>
      </c>
      <c r="D745" s="20">
        <v>70071</v>
      </c>
      <c r="E745" s="16">
        <v>51799</v>
      </c>
      <c r="F745" s="18">
        <f t="shared" si="250"/>
        <v>0.73923591785474729</v>
      </c>
    </row>
    <row r="746" spans="1:6" ht="15" customHeight="1" x14ac:dyDescent="0.25">
      <c r="A746" s="15">
        <v>2</v>
      </c>
      <c r="B746" s="15" t="s">
        <v>482</v>
      </c>
      <c r="C746" s="20">
        <v>174</v>
      </c>
      <c r="D746" s="20">
        <v>145638</v>
      </c>
      <c r="E746" s="16">
        <v>111445</v>
      </c>
      <c r="F746" s="18">
        <f t="shared" si="250"/>
        <v>0.76521924223073645</v>
      </c>
    </row>
    <row r="747" spans="1:6" ht="15" customHeight="1" x14ac:dyDescent="0.25">
      <c r="A747" s="15">
        <v>3</v>
      </c>
      <c r="B747" s="15" t="s">
        <v>483</v>
      </c>
      <c r="C747" s="20">
        <v>224</v>
      </c>
      <c r="D747" s="20">
        <v>177532</v>
      </c>
      <c r="E747" s="16">
        <v>131602</v>
      </c>
      <c r="F747" s="18">
        <f t="shared" si="250"/>
        <v>0.74128607800283897</v>
      </c>
    </row>
    <row r="748" spans="1:6" ht="15" customHeight="1" x14ac:dyDescent="0.25">
      <c r="A748" s="15">
        <v>4</v>
      </c>
      <c r="B748" s="15" t="s">
        <v>484</v>
      </c>
      <c r="C748" s="20">
        <v>200</v>
      </c>
      <c r="D748" s="20">
        <v>161880</v>
      </c>
      <c r="E748" s="16">
        <v>128254</v>
      </c>
      <c r="F748" s="18">
        <f t="shared" si="250"/>
        <v>0.79227823078823822</v>
      </c>
    </row>
    <row r="749" spans="1:6" ht="23.1" customHeight="1" x14ac:dyDescent="0.25">
      <c r="A749" s="22"/>
      <c r="B749" s="22" t="s">
        <v>7</v>
      </c>
      <c r="C749" s="14">
        <f t="shared" ref="C749" si="257">SUM(C750:C756)</f>
        <v>377</v>
      </c>
      <c r="D749" s="14">
        <f t="shared" ref="D749:E749" si="258">SUM(D750:D756)</f>
        <v>306943</v>
      </c>
      <c r="E749" s="14">
        <f t="shared" si="258"/>
        <v>239574</v>
      </c>
      <c r="F749" s="13">
        <f t="shared" si="250"/>
        <v>0.78051625220317777</v>
      </c>
    </row>
    <row r="750" spans="1:6" ht="15" customHeight="1" x14ac:dyDescent="0.25">
      <c r="A750" s="15">
        <v>1</v>
      </c>
      <c r="B750" s="15" t="s">
        <v>485</v>
      </c>
      <c r="C750" s="20">
        <v>60</v>
      </c>
      <c r="D750" s="20">
        <v>50015</v>
      </c>
      <c r="E750" s="16">
        <v>33007</v>
      </c>
      <c r="F750" s="18">
        <f t="shared" si="250"/>
        <v>0.65994201739478153</v>
      </c>
    </row>
    <row r="751" spans="1:6" ht="15" customHeight="1" x14ac:dyDescent="0.25">
      <c r="A751" s="15">
        <v>2</v>
      </c>
      <c r="B751" s="15" t="s">
        <v>486</v>
      </c>
      <c r="C751" s="20">
        <v>43</v>
      </c>
      <c r="D751" s="20">
        <v>32340</v>
      </c>
      <c r="E751" s="16">
        <v>26437</v>
      </c>
      <c r="F751" s="18">
        <f t="shared" si="250"/>
        <v>0.81747062461348174</v>
      </c>
    </row>
    <row r="752" spans="1:6" ht="15" customHeight="1" x14ac:dyDescent="0.25">
      <c r="A752" s="15">
        <v>3</v>
      </c>
      <c r="B752" s="15" t="s">
        <v>487</v>
      </c>
      <c r="C752" s="20">
        <v>29</v>
      </c>
      <c r="D752" s="20">
        <v>23709</v>
      </c>
      <c r="E752" s="16">
        <v>20593</v>
      </c>
      <c r="F752" s="18">
        <f t="shared" si="250"/>
        <v>0.86857311569446205</v>
      </c>
    </row>
    <row r="753" spans="1:6" ht="15" customHeight="1" x14ac:dyDescent="0.25">
      <c r="A753" s="15">
        <v>4</v>
      </c>
      <c r="B753" s="15" t="s">
        <v>296</v>
      </c>
      <c r="C753" s="20">
        <v>50</v>
      </c>
      <c r="D753" s="20">
        <v>41727</v>
      </c>
      <c r="E753" s="16">
        <v>34531</v>
      </c>
      <c r="F753" s="18">
        <f t="shared" si="250"/>
        <v>0.82754571380640829</v>
      </c>
    </row>
    <row r="754" spans="1:6" ht="15" customHeight="1" x14ac:dyDescent="0.25">
      <c r="A754" s="15">
        <v>5</v>
      </c>
      <c r="B754" s="15" t="s">
        <v>488</v>
      </c>
      <c r="C754" s="20">
        <v>48</v>
      </c>
      <c r="D754" s="20">
        <v>40376</v>
      </c>
      <c r="E754" s="16">
        <v>33272</v>
      </c>
      <c r="F754" s="18">
        <f t="shared" si="250"/>
        <v>0.82405389340202095</v>
      </c>
    </row>
    <row r="755" spans="1:6" ht="15" customHeight="1" x14ac:dyDescent="0.25">
      <c r="A755" s="15">
        <v>6</v>
      </c>
      <c r="B755" s="15" t="s">
        <v>489</v>
      </c>
      <c r="C755" s="20">
        <v>90</v>
      </c>
      <c r="D755" s="20">
        <v>71870</v>
      </c>
      <c r="E755" s="16">
        <v>55950</v>
      </c>
      <c r="F755" s="18">
        <f t="shared" si="250"/>
        <v>0.77848893836092947</v>
      </c>
    </row>
    <row r="756" spans="1:6" ht="15" customHeight="1" x14ac:dyDescent="0.25">
      <c r="A756" s="15">
        <v>7</v>
      </c>
      <c r="B756" s="15" t="s">
        <v>490</v>
      </c>
      <c r="C756" s="20">
        <v>57</v>
      </c>
      <c r="D756" s="20">
        <v>46906</v>
      </c>
      <c r="E756" s="16">
        <v>35784</v>
      </c>
      <c r="F756" s="18">
        <f t="shared" si="250"/>
        <v>0.76288747708182325</v>
      </c>
    </row>
    <row r="757" spans="1:6" ht="23.1" customHeight="1" x14ac:dyDescent="0.25">
      <c r="A757" s="15"/>
      <c r="B757" s="22" t="s">
        <v>8</v>
      </c>
      <c r="C757" s="12">
        <f t="shared" ref="C757:E757" si="259">SUM(C758)</f>
        <v>156</v>
      </c>
      <c r="D757" s="12">
        <f t="shared" si="259"/>
        <v>134335</v>
      </c>
      <c r="E757" s="12">
        <f t="shared" si="259"/>
        <v>107147</v>
      </c>
      <c r="F757" s="13">
        <f t="shared" si="250"/>
        <v>0.79761045148323217</v>
      </c>
    </row>
    <row r="758" spans="1:6" ht="15" customHeight="1" x14ac:dyDescent="0.25">
      <c r="A758" s="15">
        <v>1</v>
      </c>
      <c r="B758" s="15" t="s">
        <v>256</v>
      </c>
      <c r="C758" s="20">
        <v>156</v>
      </c>
      <c r="D758" s="20">
        <v>134335</v>
      </c>
      <c r="E758" s="16">
        <v>107147</v>
      </c>
      <c r="F758" s="18">
        <f>SUM(E758/D758)</f>
        <v>0.79761045148323217</v>
      </c>
    </row>
    <row r="759" spans="1:6" ht="23.1" customHeight="1" x14ac:dyDescent="0.25">
      <c r="A759" s="15"/>
      <c r="B759" s="22" t="s">
        <v>9</v>
      </c>
      <c r="C759" s="12">
        <f t="shared" ref="C759:E759" si="260">C760</f>
        <v>239</v>
      </c>
      <c r="D759" s="12">
        <f t="shared" si="260"/>
        <v>219447</v>
      </c>
      <c r="E759" s="12">
        <f t="shared" si="260"/>
        <v>173858</v>
      </c>
      <c r="F759" s="13">
        <f>SUM(E759/D759)</f>
        <v>0.79225507753580593</v>
      </c>
    </row>
    <row r="760" spans="1:6" ht="15" customHeight="1" x14ac:dyDescent="0.25">
      <c r="A760" s="15">
        <v>1</v>
      </c>
      <c r="B760" s="15" t="s">
        <v>1391</v>
      </c>
      <c r="C760" s="20">
        <v>239</v>
      </c>
      <c r="D760" s="20">
        <v>219447</v>
      </c>
      <c r="E760" s="16">
        <v>173858</v>
      </c>
      <c r="F760" s="18">
        <f>SUM(E760/D760)</f>
        <v>0.79225507753580593</v>
      </c>
    </row>
    <row r="761" spans="1:6" ht="23.1" customHeight="1" x14ac:dyDescent="0.25">
      <c r="A761" s="22"/>
      <c r="B761" s="22" t="s">
        <v>808</v>
      </c>
      <c r="C761" s="21"/>
      <c r="D761" s="21"/>
      <c r="E761" s="21"/>
      <c r="F761" s="18"/>
    </row>
    <row r="762" spans="1:6" ht="15" customHeight="1" x14ac:dyDescent="0.25">
      <c r="A762" s="15"/>
      <c r="B762" s="24" t="s">
        <v>1392</v>
      </c>
      <c r="C762" s="29">
        <f>SUM(C763:C764)</f>
        <v>504</v>
      </c>
      <c r="D762" s="29">
        <f>SUM(D763:D764)</f>
        <v>455797</v>
      </c>
      <c r="E762" s="29">
        <f>SUM(E763:E764)</f>
        <v>331773</v>
      </c>
      <c r="F762" s="13">
        <f>SUM(E762/D762)</f>
        <v>0.72789641002463812</v>
      </c>
    </row>
    <row r="763" spans="1:6" ht="15" customHeight="1" x14ac:dyDescent="0.25">
      <c r="A763" s="15"/>
      <c r="B763" s="15" t="s">
        <v>6</v>
      </c>
      <c r="C763" s="28">
        <v>235</v>
      </c>
      <c r="D763" s="28">
        <v>212925</v>
      </c>
      <c r="E763" s="16">
        <v>155352</v>
      </c>
      <c r="F763" s="18">
        <f>SUM(E763/D763)</f>
        <v>0.72960901725959848</v>
      </c>
    </row>
    <row r="764" spans="1:6" ht="15" customHeight="1" x14ac:dyDescent="0.25">
      <c r="A764" s="15"/>
      <c r="B764" s="15" t="s">
        <v>7</v>
      </c>
      <c r="C764" s="28">
        <v>269</v>
      </c>
      <c r="D764" s="28">
        <v>242872</v>
      </c>
      <c r="E764" s="16">
        <v>176421</v>
      </c>
      <c r="F764" s="18">
        <f>SUM(E764/D764)</f>
        <v>0.72639497348397508</v>
      </c>
    </row>
    <row r="765" spans="1:6" ht="23.1" customHeight="1" x14ac:dyDescent="0.25">
      <c r="A765" s="140" t="s">
        <v>491</v>
      </c>
      <c r="B765" s="140"/>
      <c r="C765" s="14">
        <f t="shared" ref="C765" si="261">SUM(C766+C776+C791+C809+C837)</f>
        <v>2951</v>
      </c>
      <c r="D765" s="14">
        <f t="shared" ref="D765:E765" si="262">SUM(D766+D776+D791+D809+D837)</f>
        <v>2055827</v>
      </c>
      <c r="E765" s="14">
        <f t="shared" si="262"/>
        <v>1704649</v>
      </c>
      <c r="F765" s="13">
        <f>SUM(E765/D765)</f>
        <v>0.82917920622698316</v>
      </c>
    </row>
    <row r="766" spans="1:6" ht="23.1" customHeight="1" x14ac:dyDescent="0.25">
      <c r="A766" s="22"/>
      <c r="B766" s="22" t="s">
        <v>492</v>
      </c>
      <c r="C766" s="14">
        <f t="shared" ref="C766" si="263">SUM(C768+C772)</f>
        <v>281</v>
      </c>
      <c r="D766" s="14">
        <f t="shared" ref="D766:E766" si="264">SUM(D768+D772)</f>
        <v>165436</v>
      </c>
      <c r="E766" s="14">
        <f t="shared" si="264"/>
        <v>142016</v>
      </c>
      <c r="F766" s="13">
        <f>SUM(E766/D766)</f>
        <v>0.85843468168959602</v>
      </c>
    </row>
    <row r="767" spans="1:6" ht="23.1" customHeight="1" x14ac:dyDescent="0.25">
      <c r="A767" s="22"/>
      <c r="B767" s="22" t="s">
        <v>22</v>
      </c>
      <c r="C767" s="14"/>
      <c r="D767" s="14"/>
      <c r="E767" s="14"/>
      <c r="F767" s="18"/>
    </row>
    <row r="768" spans="1:6" ht="23.1" customHeight="1" x14ac:dyDescent="0.25">
      <c r="A768" s="22"/>
      <c r="B768" s="22" t="s">
        <v>23</v>
      </c>
      <c r="C768" s="14">
        <f t="shared" ref="C768" si="265">SUM(C769:C771)</f>
        <v>150</v>
      </c>
      <c r="D768" s="14">
        <f t="shared" ref="D768:E768" si="266">SUM(D769:D771)</f>
        <v>86344</v>
      </c>
      <c r="E768" s="14">
        <f t="shared" si="266"/>
        <v>75263</v>
      </c>
      <c r="F768" s="13">
        <f t="shared" ref="F768:F776" si="267">SUM(E768/D768)</f>
        <v>0.87166450477161128</v>
      </c>
    </row>
    <row r="769" spans="1:6" ht="15" customHeight="1" x14ac:dyDescent="0.25">
      <c r="A769" s="15">
        <v>1</v>
      </c>
      <c r="B769" s="15" t="s">
        <v>1393</v>
      </c>
      <c r="C769" s="20">
        <v>72</v>
      </c>
      <c r="D769" s="20">
        <v>38627</v>
      </c>
      <c r="E769" s="16">
        <v>34144</v>
      </c>
      <c r="F769" s="18">
        <f t="shared" si="267"/>
        <v>0.88394128459367804</v>
      </c>
    </row>
    <row r="770" spans="1:6" ht="15" customHeight="1" x14ac:dyDescent="0.25">
      <c r="A770" s="15">
        <v>2</v>
      </c>
      <c r="B770" s="15" t="s">
        <v>493</v>
      </c>
      <c r="C770" s="20">
        <v>37</v>
      </c>
      <c r="D770" s="20">
        <v>24545</v>
      </c>
      <c r="E770" s="16">
        <v>21126</v>
      </c>
      <c r="F770" s="18">
        <f t="shared" si="267"/>
        <v>0.86070482786718272</v>
      </c>
    </row>
    <row r="771" spans="1:6" ht="15" customHeight="1" x14ac:dyDescent="0.25">
      <c r="A771" s="15">
        <v>3</v>
      </c>
      <c r="B771" s="15" t="s">
        <v>494</v>
      </c>
      <c r="C771" s="20">
        <v>41</v>
      </c>
      <c r="D771" s="20">
        <v>23172</v>
      </c>
      <c r="E771" s="16">
        <v>19993</v>
      </c>
      <c r="F771" s="18">
        <f t="shared" si="267"/>
        <v>0.86280856205765577</v>
      </c>
    </row>
    <row r="772" spans="1:6" ht="23.1" customHeight="1" x14ac:dyDescent="0.25">
      <c r="A772" s="22"/>
      <c r="B772" s="22" t="s">
        <v>39</v>
      </c>
      <c r="C772" s="14">
        <f t="shared" ref="C772" si="268">SUM(C773:C775)</f>
        <v>131</v>
      </c>
      <c r="D772" s="14">
        <f t="shared" ref="D772:E772" si="269">SUM(D773:D775)</f>
        <v>79092</v>
      </c>
      <c r="E772" s="14">
        <f t="shared" si="269"/>
        <v>66753</v>
      </c>
      <c r="F772" s="13">
        <f t="shared" si="267"/>
        <v>0.84399180700955845</v>
      </c>
    </row>
    <row r="773" spans="1:6" ht="15" customHeight="1" x14ac:dyDescent="0.25">
      <c r="A773" s="15">
        <v>1</v>
      </c>
      <c r="B773" s="15" t="s">
        <v>463</v>
      </c>
      <c r="C773" s="20">
        <v>24</v>
      </c>
      <c r="D773" s="20">
        <v>16531</v>
      </c>
      <c r="E773" s="16">
        <v>14023</v>
      </c>
      <c r="F773" s="18">
        <f t="shared" si="267"/>
        <v>0.84828504022745144</v>
      </c>
    </row>
    <row r="774" spans="1:6" ht="15" customHeight="1" x14ac:dyDescent="0.25">
      <c r="A774" s="15">
        <v>2</v>
      </c>
      <c r="B774" s="15" t="s">
        <v>138</v>
      </c>
      <c r="C774" s="20">
        <v>71</v>
      </c>
      <c r="D774" s="20">
        <v>40165</v>
      </c>
      <c r="E774" s="16">
        <v>34793</v>
      </c>
      <c r="F774" s="18">
        <f t="shared" si="267"/>
        <v>0.86625171168928172</v>
      </c>
    </row>
    <row r="775" spans="1:6" ht="15" customHeight="1" x14ac:dyDescent="0.25">
      <c r="A775" s="15">
        <v>3</v>
      </c>
      <c r="B775" s="15" t="s">
        <v>495</v>
      </c>
      <c r="C775" s="20">
        <v>36</v>
      </c>
      <c r="D775" s="20">
        <v>22396</v>
      </c>
      <c r="E775" s="16">
        <v>17937</v>
      </c>
      <c r="F775" s="18">
        <f t="shared" si="267"/>
        <v>0.80090194677621007</v>
      </c>
    </row>
    <row r="776" spans="1:6" ht="23.1" customHeight="1" x14ac:dyDescent="0.25">
      <c r="A776" s="22"/>
      <c r="B776" s="22" t="s">
        <v>496</v>
      </c>
      <c r="C776" s="14">
        <f t="shared" ref="C776" si="270">SUM(C778+C786)</f>
        <v>442</v>
      </c>
      <c r="D776" s="14">
        <f t="shared" ref="D776:E776" si="271">SUM(D778+D786)</f>
        <v>321699</v>
      </c>
      <c r="E776" s="14">
        <f t="shared" si="271"/>
        <v>256034</v>
      </c>
      <c r="F776" s="13">
        <f t="shared" si="267"/>
        <v>0.79588062132614645</v>
      </c>
    </row>
    <row r="777" spans="1:6" ht="23.1" customHeight="1" x14ac:dyDescent="0.25">
      <c r="A777" s="22"/>
      <c r="B777" s="22" t="s">
        <v>22</v>
      </c>
      <c r="C777" s="14"/>
      <c r="D777" s="14"/>
      <c r="E777" s="14"/>
      <c r="F777" s="18"/>
    </row>
    <row r="778" spans="1:6" ht="23.1" customHeight="1" x14ac:dyDescent="0.25">
      <c r="A778" s="22"/>
      <c r="B778" s="22" t="s">
        <v>23</v>
      </c>
      <c r="C778" s="14">
        <f t="shared" ref="C778" si="272">SUM(C779:C785)</f>
        <v>234</v>
      </c>
      <c r="D778" s="14">
        <f t="shared" ref="D778:E778" si="273">SUM(D779:D785)</f>
        <v>168006</v>
      </c>
      <c r="E778" s="14">
        <f t="shared" si="273"/>
        <v>133221</v>
      </c>
      <c r="F778" s="13">
        <f t="shared" ref="F778:F809" si="274">SUM(E778/D778)</f>
        <v>0.7929538230777472</v>
      </c>
    </row>
    <row r="779" spans="1:6" ht="15" customHeight="1" x14ac:dyDescent="0.25">
      <c r="A779" s="15">
        <v>1</v>
      </c>
      <c r="B779" s="15" t="s">
        <v>497</v>
      </c>
      <c r="C779" s="20">
        <v>28</v>
      </c>
      <c r="D779" s="20">
        <v>20914</v>
      </c>
      <c r="E779" s="16">
        <v>17168</v>
      </c>
      <c r="F779" s="18">
        <f t="shared" si="274"/>
        <v>0.82088553122310415</v>
      </c>
    </row>
    <row r="780" spans="1:6" ht="15" customHeight="1" x14ac:dyDescent="0.25">
      <c r="A780" s="15">
        <v>2</v>
      </c>
      <c r="B780" s="15" t="s">
        <v>498</v>
      </c>
      <c r="C780" s="20">
        <v>11</v>
      </c>
      <c r="D780" s="20">
        <v>7319</v>
      </c>
      <c r="E780" s="16">
        <v>5663</v>
      </c>
      <c r="F780" s="18">
        <f t="shared" si="274"/>
        <v>0.77373958191009706</v>
      </c>
    </row>
    <row r="781" spans="1:6" ht="15" customHeight="1" x14ac:dyDescent="0.25">
      <c r="A781" s="15">
        <v>3</v>
      </c>
      <c r="B781" s="15" t="s">
        <v>499</v>
      </c>
      <c r="C781" s="20">
        <v>23</v>
      </c>
      <c r="D781" s="20">
        <v>13497</v>
      </c>
      <c r="E781" s="16">
        <v>10889</v>
      </c>
      <c r="F781" s="18">
        <f t="shared" si="274"/>
        <v>0.80677187523153293</v>
      </c>
    </row>
    <row r="782" spans="1:6" ht="15" customHeight="1" x14ac:dyDescent="0.25">
      <c r="A782" s="15">
        <v>4</v>
      </c>
      <c r="B782" s="15" t="s">
        <v>1394</v>
      </c>
      <c r="C782" s="20">
        <v>41</v>
      </c>
      <c r="D782" s="20">
        <v>31011</v>
      </c>
      <c r="E782" s="16">
        <v>25215</v>
      </c>
      <c r="F782" s="18">
        <f t="shared" si="274"/>
        <v>0.81309857792396245</v>
      </c>
    </row>
    <row r="783" spans="1:6" ht="15" customHeight="1" x14ac:dyDescent="0.25">
      <c r="A783" s="15">
        <v>5</v>
      </c>
      <c r="B783" s="15" t="s">
        <v>500</v>
      </c>
      <c r="C783" s="20">
        <v>23</v>
      </c>
      <c r="D783" s="20">
        <v>14904</v>
      </c>
      <c r="E783" s="16">
        <v>12774</v>
      </c>
      <c r="F783" s="18">
        <f t="shared" si="274"/>
        <v>0.85708534621578103</v>
      </c>
    </row>
    <row r="784" spans="1:6" ht="15" customHeight="1" x14ac:dyDescent="0.25">
      <c r="A784" s="15">
        <v>6</v>
      </c>
      <c r="B784" s="15" t="s">
        <v>501</v>
      </c>
      <c r="C784" s="20">
        <v>74</v>
      </c>
      <c r="D784" s="20">
        <v>55181</v>
      </c>
      <c r="E784" s="16">
        <v>42150</v>
      </c>
      <c r="F784" s="18">
        <f t="shared" si="274"/>
        <v>0.76384987586306885</v>
      </c>
    </row>
    <row r="785" spans="1:6" ht="15" customHeight="1" x14ac:dyDescent="0.25">
      <c r="A785" s="15">
        <v>7</v>
      </c>
      <c r="B785" s="15" t="s">
        <v>138</v>
      </c>
      <c r="C785" s="20">
        <v>34</v>
      </c>
      <c r="D785" s="20">
        <v>25180</v>
      </c>
      <c r="E785" s="16">
        <v>19362</v>
      </c>
      <c r="F785" s="18">
        <f t="shared" si="274"/>
        <v>0.76894360603653689</v>
      </c>
    </row>
    <row r="786" spans="1:6" ht="23.1" customHeight="1" x14ac:dyDescent="0.25">
      <c r="A786" s="22"/>
      <c r="B786" s="22" t="s">
        <v>39</v>
      </c>
      <c r="C786" s="14">
        <f t="shared" ref="C786" si="275">SUM(C787:C790)</f>
        <v>208</v>
      </c>
      <c r="D786" s="14">
        <f t="shared" ref="D786:E786" si="276">SUM(D787:D790)</f>
        <v>153693</v>
      </c>
      <c r="E786" s="14">
        <f t="shared" si="276"/>
        <v>122813</v>
      </c>
      <c r="F786" s="13">
        <f t="shared" si="274"/>
        <v>0.79907998412419567</v>
      </c>
    </row>
    <row r="787" spans="1:6" ht="15" customHeight="1" x14ac:dyDescent="0.25">
      <c r="A787" s="15">
        <v>1</v>
      </c>
      <c r="B787" s="15" t="s">
        <v>502</v>
      </c>
      <c r="C787" s="20">
        <v>23</v>
      </c>
      <c r="D787" s="20">
        <v>17897</v>
      </c>
      <c r="E787" s="16">
        <v>14411</v>
      </c>
      <c r="F787" s="18">
        <f t="shared" si="274"/>
        <v>0.80521875174610269</v>
      </c>
    </row>
    <row r="788" spans="1:6" ht="15" customHeight="1" x14ac:dyDescent="0.25">
      <c r="A788" s="15">
        <v>2</v>
      </c>
      <c r="B788" s="15" t="s">
        <v>503</v>
      </c>
      <c r="C788" s="20">
        <v>37</v>
      </c>
      <c r="D788" s="20">
        <v>23902</v>
      </c>
      <c r="E788" s="16">
        <v>19959</v>
      </c>
      <c r="F788" s="18">
        <f t="shared" si="274"/>
        <v>0.83503472512760435</v>
      </c>
    </row>
    <row r="789" spans="1:6" ht="15" customHeight="1" x14ac:dyDescent="0.25">
      <c r="A789" s="15">
        <v>3</v>
      </c>
      <c r="B789" s="15" t="s">
        <v>227</v>
      </c>
      <c r="C789" s="20">
        <v>33</v>
      </c>
      <c r="D789" s="20">
        <v>25125</v>
      </c>
      <c r="E789" s="16">
        <v>20564</v>
      </c>
      <c r="F789" s="18">
        <f t="shared" si="274"/>
        <v>0.81846766169154228</v>
      </c>
    </row>
    <row r="790" spans="1:6" ht="15" customHeight="1" x14ac:dyDescent="0.25">
      <c r="A790" s="15">
        <v>4</v>
      </c>
      <c r="B790" s="15" t="s">
        <v>374</v>
      </c>
      <c r="C790" s="20">
        <v>115</v>
      </c>
      <c r="D790" s="20">
        <v>86769</v>
      </c>
      <c r="E790" s="16">
        <v>67879</v>
      </c>
      <c r="F790" s="18">
        <f t="shared" si="274"/>
        <v>0.78229552028950433</v>
      </c>
    </row>
    <row r="791" spans="1:6" ht="23.1" customHeight="1" x14ac:dyDescent="0.25">
      <c r="A791" s="22"/>
      <c r="B791" s="22" t="s">
        <v>504</v>
      </c>
      <c r="C791" s="14">
        <f t="shared" ref="C791" si="277">SUM(C792+C801)</f>
        <v>812</v>
      </c>
      <c r="D791" s="14">
        <f t="shared" ref="D791:E791" si="278">SUM(D792+D801)</f>
        <v>569601</v>
      </c>
      <c r="E791" s="14">
        <f t="shared" si="278"/>
        <v>465934</v>
      </c>
      <c r="F791" s="13">
        <f t="shared" si="274"/>
        <v>0.81800067064489002</v>
      </c>
    </row>
    <row r="792" spans="1:6" ht="23.1" customHeight="1" x14ac:dyDescent="0.25">
      <c r="A792" s="22"/>
      <c r="B792" s="22" t="s">
        <v>6</v>
      </c>
      <c r="C792" s="14">
        <f t="shared" ref="C792" si="279">SUM(C793:C800)</f>
        <v>452</v>
      </c>
      <c r="D792" s="14">
        <f t="shared" ref="D792:E792" si="280">SUM(D793:D800)</f>
        <v>308447</v>
      </c>
      <c r="E792" s="14">
        <f t="shared" si="280"/>
        <v>250688</v>
      </c>
      <c r="F792" s="13">
        <f t="shared" si="274"/>
        <v>0.81274254572098281</v>
      </c>
    </row>
    <row r="793" spans="1:6" ht="15" customHeight="1" x14ac:dyDescent="0.25">
      <c r="A793" s="15">
        <v>1</v>
      </c>
      <c r="B793" s="15" t="s">
        <v>505</v>
      </c>
      <c r="C793" s="20">
        <v>41</v>
      </c>
      <c r="D793" s="20">
        <v>26166</v>
      </c>
      <c r="E793" s="16">
        <v>22142</v>
      </c>
      <c r="F793" s="18">
        <f t="shared" si="274"/>
        <v>0.8462126423603149</v>
      </c>
    </row>
    <row r="794" spans="1:6" ht="15" customHeight="1" x14ac:dyDescent="0.25">
      <c r="A794" s="15">
        <v>2</v>
      </c>
      <c r="B794" s="15" t="s">
        <v>506</v>
      </c>
      <c r="C794" s="20">
        <v>97</v>
      </c>
      <c r="D794" s="20">
        <v>64553</v>
      </c>
      <c r="E794" s="16">
        <v>50598</v>
      </c>
      <c r="F794" s="18">
        <f t="shared" si="274"/>
        <v>0.78382104627205551</v>
      </c>
    </row>
    <row r="795" spans="1:6" ht="15" customHeight="1" x14ac:dyDescent="0.25">
      <c r="A795" s="15">
        <v>3</v>
      </c>
      <c r="B795" s="15" t="s">
        <v>507</v>
      </c>
      <c r="C795" s="20">
        <v>35</v>
      </c>
      <c r="D795" s="20">
        <v>23444</v>
      </c>
      <c r="E795" s="16">
        <v>17792</v>
      </c>
      <c r="F795" s="18">
        <f t="shared" si="274"/>
        <v>0.7589148609452312</v>
      </c>
    </row>
    <row r="796" spans="1:6" ht="15" customHeight="1" x14ac:dyDescent="0.25">
      <c r="A796" s="15">
        <v>4</v>
      </c>
      <c r="B796" s="15" t="s">
        <v>508</v>
      </c>
      <c r="C796" s="20">
        <v>35</v>
      </c>
      <c r="D796" s="20">
        <v>27024</v>
      </c>
      <c r="E796" s="16">
        <v>22198</v>
      </c>
      <c r="F796" s="18">
        <f t="shared" si="274"/>
        <v>0.82141799881586741</v>
      </c>
    </row>
    <row r="797" spans="1:6" ht="15" customHeight="1" x14ac:dyDescent="0.25">
      <c r="A797" s="15">
        <v>5</v>
      </c>
      <c r="B797" s="15" t="s">
        <v>509</v>
      </c>
      <c r="C797" s="20">
        <v>17</v>
      </c>
      <c r="D797" s="20">
        <v>12590</v>
      </c>
      <c r="E797" s="16">
        <v>10235</v>
      </c>
      <c r="F797" s="18">
        <f t="shared" si="274"/>
        <v>0.81294678316123903</v>
      </c>
    </row>
    <row r="798" spans="1:6" ht="15" customHeight="1" x14ac:dyDescent="0.25">
      <c r="A798" s="15">
        <v>6</v>
      </c>
      <c r="B798" s="15" t="s">
        <v>510</v>
      </c>
      <c r="C798" s="20">
        <v>38</v>
      </c>
      <c r="D798" s="20">
        <v>25189</v>
      </c>
      <c r="E798" s="16">
        <v>20854</v>
      </c>
      <c r="F798" s="18">
        <f t="shared" si="274"/>
        <v>0.82790106792647589</v>
      </c>
    </row>
    <row r="799" spans="1:6" ht="15" customHeight="1" x14ac:dyDescent="0.25">
      <c r="A799" s="15">
        <v>7</v>
      </c>
      <c r="B799" s="15" t="s">
        <v>375</v>
      </c>
      <c r="C799" s="20">
        <v>54</v>
      </c>
      <c r="D799" s="20">
        <v>33171</v>
      </c>
      <c r="E799" s="16">
        <v>27439</v>
      </c>
      <c r="F799" s="18">
        <f t="shared" si="274"/>
        <v>0.82719845648307255</v>
      </c>
    </row>
    <row r="800" spans="1:6" ht="15" customHeight="1" x14ac:dyDescent="0.25">
      <c r="A800" s="15"/>
      <c r="B800" s="24" t="s">
        <v>1395</v>
      </c>
      <c r="C800" s="20">
        <v>135</v>
      </c>
      <c r="D800" s="20">
        <v>96310</v>
      </c>
      <c r="E800" s="16">
        <v>79430</v>
      </c>
      <c r="F800" s="18">
        <f t="shared" si="274"/>
        <v>0.82473263420205589</v>
      </c>
    </row>
    <row r="801" spans="1:6" ht="23.1" customHeight="1" x14ac:dyDescent="0.25">
      <c r="A801" s="22"/>
      <c r="B801" s="22" t="s">
        <v>7</v>
      </c>
      <c r="C801" s="14">
        <f t="shared" ref="C801" si="281">SUM(C802:C808)</f>
        <v>360</v>
      </c>
      <c r="D801" s="14">
        <f t="shared" ref="D801:E801" si="282">SUM(D802:D808)</f>
        <v>261154</v>
      </c>
      <c r="E801" s="14">
        <f t="shared" si="282"/>
        <v>215246</v>
      </c>
      <c r="F801" s="13">
        <f t="shared" si="274"/>
        <v>0.82421100193755403</v>
      </c>
    </row>
    <row r="802" spans="1:6" ht="15" customHeight="1" x14ac:dyDescent="0.25">
      <c r="A802" s="15">
        <v>1</v>
      </c>
      <c r="B802" s="15" t="s">
        <v>511</v>
      </c>
      <c r="C802" s="20">
        <v>38</v>
      </c>
      <c r="D802" s="20">
        <v>27825</v>
      </c>
      <c r="E802" s="16">
        <v>22457</v>
      </c>
      <c r="F802" s="18">
        <f t="shared" si="274"/>
        <v>0.80707996406109617</v>
      </c>
    </row>
    <row r="803" spans="1:6" ht="15" customHeight="1" x14ac:dyDescent="0.25">
      <c r="A803" s="15">
        <v>2</v>
      </c>
      <c r="B803" s="15" t="s">
        <v>512</v>
      </c>
      <c r="C803" s="20">
        <v>67</v>
      </c>
      <c r="D803" s="20">
        <v>48137</v>
      </c>
      <c r="E803" s="16">
        <v>39846</v>
      </c>
      <c r="F803" s="18">
        <f t="shared" si="274"/>
        <v>0.82776242806988387</v>
      </c>
    </row>
    <row r="804" spans="1:6" ht="15" customHeight="1" x14ac:dyDescent="0.25">
      <c r="A804" s="15">
        <v>3</v>
      </c>
      <c r="B804" s="15" t="s">
        <v>1396</v>
      </c>
      <c r="C804" s="20">
        <v>41</v>
      </c>
      <c r="D804" s="20">
        <v>27509</v>
      </c>
      <c r="E804" s="17">
        <v>24422</v>
      </c>
      <c r="F804" s="18">
        <f t="shared" si="274"/>
        <v>0.88778218037733103</v>
      </c>
    </row>
    <row r="805" spans="1:6" ht="15" customHeight="1" x14ac:dyDescent="0.25">
      <c r="A805" s="15">
        <v>4</v>
      </c>
      <c r="B805" s="15" t="s">
        <v>513</v>
      </c>
      <c r="C805" s="20">
        <v>45</v>
      </c>
      <c r="D805" s="20">
        <v>33105</v>
      </c>
      <c r="E805" s="17">
        <v>26973</v>
      </c>
      <c r="F805" s="18">
        <f t="shared" si="274"/>
        <v>0.8147711826008156</v>
      </c>
    </row>
    <row r="806" spans="1:6" ht="15" customHeight="1" x14ac:dyDescent="0.25">
      <c r="A806" s="15">
        <v>5</v>
      </c>
      <c r="B806" s="15" t="s">
        <v>514</v>
      </c>
      <c r="C806" s="20">
        <v>48</v>
      </c>
      <c r="D806" s="20">
        <v>33758</v>
      </c>
      <c r="E806" s="16">
        <v>28377</v>
      </c>
      <c r="F806" s="18">
        <f t="shared" si="274"/>
        <v>0.84060074648972094</v>
      </c>
    </row>
    <row r="807" spans="1:6" ht="15" customHeight="1" x14ac:dyDescent="0.25">
      <c r="A807" s="15">
        <v>6</v>
      </c>
      <c r="B807" s="15" t="s">
        <v>515</v>
      </c>
      <c r="C807" s="20">
        <v>69</v>
      </c>
      <c r="D807" s="20">
        <v>51177</v>
      </c>
      <c r="E807" s="16">
        <v>41652</v>
      </c>
      <c r="F807" s="18">
        <f t="shared" si="274"/>
        <v>0.81388123571135473</v>
      </c>
    </row>
    <row r="808" spans="1:6" ht="15" customHeight="1" x14ac:dyDescent="0.25">
      <c r="A808" s="15">
        <v>7</v>
      </c>
      <c r="B808" s="15" t="s">
        <v>249</v>
      </c>
      <c r="C808" s="20">
        <v>52</v>
      </c>
      <c r="D808" s="20">
        <v>39643</v>
      </c>
      <c r="E808" s="16">
        <v>31519</v>
      </c>
      <c r="F808" s="18">
        <f t="shared" si="274"/>
        <v>0.79507100875312164</v>
      </c>
    </row>
    <row r="809" spans="1:6" ht="23.1" customHeight="1" x14ac:dyDescent="0.25">
      <c r="A809" s="22"/>
      <c r="B809" s="22" t="s">
        <v>516</v>
      </c>
      <c r="C809" s="14">
        <f t="shared" ref="C809" si="283">SUM(C810+C826+C834)</f>
        <v>1087</v>
      </c>
      <c r="D809" s="14">
        <f t="shared" ref="D809:E809" si="284">SUM(D810+D826+D834)</f>
        <v>787755</v>
      </c>
      <c r="E809" s="14">
        <f t="shared" si="284"/>
        <v>661865</v>
      </c>
      <c r="F809" s="13">
        <f t="shared" si="274"/>
        <v>0.84019143007661012</v>
      </c>
    </row>
    <row r="810" spans="1:6" ht="23.1" customHeight="1" x14ac:dyDescent="0.25">
      <c r="A810" s="22"/>
      <c r="B810" s="22" t="s">
        <v>6</v>
      </c>
      <c r="C810" s="14">
        <f t="shared" ref="C810" si="285">SUM(C811:C825)</f>
        <v>451</v>
      </c>
      <c r="D810" s="14">
        <f t="shared" ref="D810:E810" si="286">SUM(D811:D825)</f>
        <v>302220</v>
      </c>
      <c r="E810" s="14">
        <f t="shared" si="286"/>
        <v>257337</v>
      </c>
      <c r="F810" s="13">
        <f t="shared" ref="F810:F837" si="287">SUM(E810/D810)</f>
        <v>0.851488981536629</v>
      </c>
    </row>
    <row r="811" spans="1:6" ht="15" customHeight="1" x14ac:dyDescent="0.25">
      <c r="A811" s="15">
        <v>1</v>
      </c>
      <c r="B811" s="15" t="s">
        <v>517</v>
      </c>
      <c r="C811" s="20">
        <v>14</v>
      </c>
      <c r="D811" s="20">
        <v>7815</v>
      </c>
      <c r="E811" s="16">
        <v>6493</v>
      </c>
      <c r="F811" s="18">
        <f t="shared" si="287"/>
        <v>0.83083813179782473</v>
      </c>
    </row>
    <row r="812" spans="1:6" ht="15" customHeight="1" x14ac:dyDescent="0.25">
      <c r="A812" s="15">
        <v>2</v>
      </c>
      <c r="B812" s="15" t="s">
        <v>518</v>
      </c>
      <c r="C812" s="20">
        <v>17</v>
      </c>
      <c r="D812" s="20">
        <v>9735</v>
      </c>
      <c r="E812" s="16">
        <v>8318</v>
      </c>
      <c r="F812" s="18">
        <f t="shared" si="287"/>
        <v>0.85444273240883406</v>
      </c>
    </row>
    <row r="813" spans="1:6" ht="15" customHeight="1" x14ac:dyDescent="0.25">
      <c r="A813" s="15">
        <v>3</v>
      </c>
      <c r="B813" s="15" t="s">
        <v>519</v>
      </c>
      <c r="C813" s="20">
        <v>22</v>
      </c>
      <c r="D813" s="20">
        <v>16404</v>
      </c>
      <c r="E813" s="16">
        <v>14181</v>
      </c>
      <c r="F813" s="18">
        <f t="shared" si="287"/>
        <v>0.86448427212874912</v>
      </c>
    </row>
    <row r="814" spans="1:6" ht="15" customHeight="1" x14ac:dyDescent="0.25">
      <c r="A814" s="15">
        <v>4</v>
      </c>
      <c r="B814" s="15" t="s">
        <v>520</v>
      </c>
      <c r="C814" s="20">
        <v>14</v>
      </c>
      <c r="D814" s="20">
        <v>4692</v>
      </c>
      <c r="E814" s="28">
        <v>3855</v>
      </c>
      <c r="F814" s="18">
        <f t="shared" si="287"/>
        <v>0.82161125319693096</v>
      </c>
    </row>
    <row r="815" spans="1:6" ht="15" customHeight="1" x14ac:dyDescent="0.25">
      <c r="A815" s="23">
        <v>5</v>
      </c>
      <c r="B815" s="15" t="s">
        <v>521</v>
      </c>
      <c r="C815" s="20">
        <v>57</v>
      </c>
      <c r="D815" s="20">
        <v>41434</v>
      </c>
      <c r="E815" s="28">
        <v>33269</v>
      </c>
      <c r="F815" s="18">
        <f t="shared" si="287"/>
        <v>0.80293961480909393</v>
      </c>
    </row>
    <row r="816" spans="1:6" ht="15" customHeight="1" x14ac:dyDescent="0.25">
      <c r="A816" s="15">
        <v>6</v>
      </c>
      <c r="B816" s="15" t="s">
        <v>522</v>
      </c>
      <c r="C816" s="20">
        <v>23</v>
      </c>
      <c r="D816" s="20">
        <v>14568</v>
      </c>
      <c r="E816" s="28">
        <v>12802</v>
      </c>
      <c r="F816" s="18">
        <f t="shared" si="287"/>
        <v>0.87877539813289396</v>
      </c>
    </row>
    <row r="817" spans="1:6" ht="15" customHeight="1" x14ac:dyDescent="0.25">
      <c r="A817" s="15">
        <v>7</v>
      </c>
      <c r="B817" s="15" t="s">
        <v>523</v>
      </c>
      <c r="C817" s="20">
        <v>24</v>
      </c>
      <c r="D817" s="20">
        <v>14512</v>
      </c>
      <c r="E817" s="16">
        <v>12130</v>
      </c>
      <c r="F817" s="18">
        <f t="shared" si="287"/>
        <v>0.83585997794928335</v>
      </c>
    </row>
    <row r="818" spans="1:6" ht="15" customHeight="1" x14ac:dyDescent="0.25">
      <c r="A818" s="23">
        <v>8</v>
      </c>
      <c r="B818" s="15" t="s">
        <v>524</v>
      </c>
      <c r="C818" s="20">
        <v>30</v>
      </c>
      <c r="D818" s="20">
        <v>15385</v>
      </c>
      <c r="E818" s="28">
        <v>13597</v>
      </c>
      <c r="F818" s="18">
        <f t="shared" si="287"/>
        <v>0.88378290542736426</v>
      </c>
    </row>
    <row r="819" spans="1:6" ht="15" customHeight="1" x14ac:dyDescent="0.25">
      <c r="A819" s="15">
        <v>9</v>
      </c>
      <c r="B819" s="15" t="s">
        <v>1397</v>
      </c>
      <c r="C819" s="20">
        <v>49</v>
      </c>
      <c r="D819" s="20">
        <v>35137</v>
      </c>
      <c r="E819" s="16">
        <v>31159</v>
      </c>
      <c r="F819" s="18">
        <f t="shared" si="287"/>
        <v>0.88678600905028881</v>
      </c>
    </row>
    <row r="820" spans="1:6" ht="15" customHeight="1" x14ac:dyDescent="0.25">
      <c r="A820" s="15">
        <v>10</v>
      </c>
      <c r="B820" s="15" t="s">
        <v>437</v>
      </c>
      <c r="C820" s="20">
        <v>1</v>
      </c>
      <c r="D820" s="20">
        <v>819</v>
      </c>
      <c r="E820" s="28">
        <v>557</v>
      </c>
      <c r="F820" s="18">
        <f t="shared" si="287"/>
        <v>0.68009768009768012</v>
      </c>
    </row>
    <row r="821" spans="1:6" ht="15" customHeight="1" x14ac:dyDescent="0.25">
      <c r="A821" s="15">
        <v>11</v>
      </c>
      <c r="B821" s="15" t="s">
        <v>525</v>
      </c>
      <c r="C821" s="20">
        <v>16</v>
      </c>
      <c r="D821" s="20">
        <v>10354</v>
      </c>
      <c r="E821" s="28">
        <v>9080</v>
      </c>
      <c r="F821" s="18">
        <f t="shared" si="287"/>
        <v>0.87695576588757973</v>
      </c>
    </row>
    <row r="822" spans="1:6" ht="15" customHeight="1" x14ac:dyDescent="0.25">
      <c r="A822" s="15">
        <v>12</v>
      </c>
      <c r="B822" s="15" t="s">
        <v>503</v>
      </c>
      <c r="C822" s="20">
        <v>14</v>
      </c>
      <c r="D822" s="20">
        <v>7952</v>
      </c>
      <c r="E822" s="16">
        <v>6591</v>
      </c>
      <c r="F822" s="18">
        <f t="shared" si="287"/>
        <v>0.82884808853118708</v>
      </c>
    </row>
    <row r="823" spans="1:6" ht="15" customHeight="1" x14ac:dyDescent="0.25">
      <c r="A823" s="15">
        <v>13</v>
      </c>
      <c r="B823" s="15" t="s">
        <v>249</v>
      </c>
      <c r="C823" s="20">
        <v>63</v>
      </c>
      <c r="D823" s="20">
        <v>45968</v>
      </c>
      <c r="E823" s="16">
        <v>38115</v>
      </c>
      <c r="F823" s="18">
        <f t="shared" si="287"/>
        <v>0.82916376609815523</v>
      </c>
    </row>
    <row r="824" spans="1:6" ht="15" customHeight="1" x14ac:dyDescent="0.25">
      <c r="A824" s="15">
        <v>14</v>
      </c>
      <c r="B824" s="15" t="s">
        <v>124</v>
      </c>
      <c r="C824" s="20">
        <v>38</v>
      </c>
      <c r="D824" s="20">
        <v>24280</v>
      </c>
      <c r="E824" s="16">
        <v>20564</v>
      </c>
      <c r="F824" s="18">
        <f t="shared" si="287"/>
        <v>0.84695222405271831</v>
      </c>
    </row>
    <row r="825" spans="1:6" ht="15" customHeight="1" x14ac:dyDescent="0.25">
      <c r="A825" s="15">
        <v>15</v>
      </c>
      <c r="B825" s="15" t="s">
        <v>484</v>
      </c>
      <c r="C825" s="20">
        <v>69</v>
      </c>
      <c r="D825" s="20">
        <v>53165</v>
      </c>
      <c r="E825" s="16">
        <v>46626</v>
      </c>
      <c r="F825" s="18">
        <f t="shared" si="287"/>
        <v>0.87700554876328407</v>
      </c>
    </row>
    <row r="826" spans="1:6" ht="23.1" customHeight="1" x14ac:dyDescent="0.25">
      <c r="A826" s="22"/>
      <c r="B826" s="22" t="s">
        <v>7</v>
      </c>
      <c r="C826" s="14">
        <f t="shared" ref="C826" si="288">SUM(C827:C833)</f>
        <v>367</v>
      </c>
      <c r="D826" s="14">
        <f t="shared" ref="D826:E826" si="289">SUM(D827:D833)</f>
        <v>275287</v>
      </c>
      <c r="E826" s="14">
        <f t="shared" si="289"/>
        <v>226833</v>
      </c>
      <c r="F826" s="13">
        <f t="shared" si="287"/>
        <v>0.82398732958694021</v>
      </c>
    </row>
    <row r="827" spans="1:6" ht="15" customHeight="1" x14ac:dyDescent="0.25">
      <c r="A827" s="15">
        <v>1</v>
      </c>
      <c r="B827" s="15" t="s">
        <v>526</v>
      </c>
      <c r="C827" s="20">
        <v>42</v>
      </c>
      <c r="D827" s="20">
        <v>23800</v>
      </c>
      <c r="E827" s="16">
        <v>19122</v>
      </c>
      <c r="F827" s="18">
        <f t="shared" si="287"/>
        <v>0.80344537815126049</v>
      </c>
    </row>
    <row r="828" spans="1:6" ht="15" customHeight="1" x14ac:dyDescent="0.25">
      <c r="A828" s="23">
        <v>2</v>
      </c>
      <c r="B828" s="15" t="s">
        <v>527</v>
      </c>
      <c r="C828" s="20">
        <v>72</v>
      </c>
      <c r="D828" s="20">
        <v>54456</v>
      </c>
      <c r="E828" s="16">
        <v>41012</v>
      </c>
      <c r="F828" s="18">
        <f t="shared" si="287"/>
        <v>0.75312178639635674</v>
      </c>
    </row>
    <row r="829" spans="1:6" ht="15" customHeight="1" x14ac:dyDescent="0.25">
      <c r="A829" s="23">
        <v>3</v>
      </c>
      <c r="B829" s="15" t="s">
        <v>528</v>
      </c>
      <c r="C829" s="20">
        <v>66</v>
      </c>
      <c r="D829" s="20">
        <v>51184</v>
      </c>
      <c r="E829" s="16">
        <v>43413</v>
      </c>
      <c r="F829" s="18">
        <f t="shared" si="287"/>
        <v>0.84817521100343862</v>
      </c>
    </row>
    <row r="830" spans="1:6" ht="15" customHeight="1" x14ac:dyDescent="0.25">
      <c r="A830" s="23">
        <v>4</v>
      </c>
      <c r="B830" s="15" t="s">
        <v>529</v>
      </c>
      <c r="C830" s="20">
        <v>61</v>
      </c>
      <c r="D830" s="20">
        <v>48298</v>
      </c>
      <c r="E830" s="16">
        <v>40555</v>
      </c>
      <c r="F830" s="18">
        <f t="shared" si="287"/>
        <v>0.83968280260052175</v>
      </c>
    </row>
    <row r="831" spans="1:6" ht="15" customHeight="1" x14ac:dyDescent="0.25">
      <c r="A831" s="23">
        <v>5</v>
      </c>
      <c r="B831" s="15" t="s">
        <v>247</v>
      </c>
      <c r="C831" s="20">
        <v>54</v>
      </c>
      <c r="D831" s="20">
        <v>39152</v>
      </c>
      <c r="E831" s="16">
        <v>33424</v>
      </c>
      <c r="F831" s="18">
        <f t="shared" si="287"/>
        <v>0.8536984062116878</v>
      </c>
    </row>
    <row r="832" spans="1:6" ht="15" customHeight="1" x14ac:dyDescent="0.25">
      <c r="A832" s="15">
        <v>6</v>
      </c>
      <c r="B832" s="15" t="s">
        <v>1266</v>
      </c>
      <c r="C832" s="20">
        <v>43</v>
      </c>
      <c r="D832" s="20">
        <v>34052</v>
      </c>
      <c r="E832" s="16">
        <v>28412</v>
      </c>
      <c r="F832" s="18">
        <f t="shared" si="287"/>
        <v>0.83437096205802885</v>
      </c>
    </row>
    <row r="833" spans="1:6" ht="15" customHeight="1" x14ac:dyDescent="0.25">
      <c r="A833" s="15">
        <v>7</v>
      </c>
      <c r="B833" s="15" t="s">
        <v>530</v>
      </c>
      <c r="C833" s="20">
        <v>29</v>
      </c>
      <c r="D833" s="20">
        <v>24345</v>
      </c>
      <c r="E833" s="16">
        <v>20895</v>
      </c>
      <c r="F833" s="18">
        <f t="shared" si="287"/>
        <v>0.85828712261244611</v>
      </c>
    </row>
    <row r="834" spans="1:6" ht="23.1" customHeight="1" x14ac:dyDescent="0.25">
      <c r="A834" s="22"/>
      <c r="B834" s="22" t="s">
        <v>8</v>
      </c>
      <c r="C834" s="14">
        <f t="shared" ref="C834" si="290">SUM(C835:C836)</f>
        <v>269</v>
      </c>
      <c r="D834" s="14">
        <f t="shared" ref="D834:E834" si="291">SUM(D835:D836)</f>
        <v>210248</v>
      </c>
      <c r="E834" s="14">
        <f t="shared" si="291"/>
        <v>177695</v>
      </c>
      <c r="F834" s="13">
        <f t="shared" si="287"/>
        <v>0.84516856284007458</v>
      </c>
    </row>
    <row r="835" spans="1:6" ht="15" customHeight="1" x14ac:dyDescent="0.25">
      <c r="A835" s="15">
        <v>1</v>
      </c>
      <c r="B835" s="15" t="s">
        <v>531</v>
      </c>
      <c r="C835" s="20">
        <v>41</v>
      </c>
      <c r="D835" s="20">
        <v>28433</v>
      </c>
      <c r="E835" s="16">
        <v>24174</v>
      </c>
      <c r="F835" s="18">
        <f t="shared" si="287"/>
        <v>0.85020926388351559</v>
      </c>
    </row>
    <row r="836" spans="1:6" ht="15" customHeight="1" x14ac:dyDescent="0.25">
      <c r="A836" s="15"/>
      <c r="B836" s="24" t="s">
        <v>1398</v>
      </c>
      <c r="C836" s="20">
        <v>228</v>
      </c>
      <c r="D836" s="20">
        <v>181815</v>
      </c>
      <c r="E836" s="16">
        <v>153521</v>
      </c>
      <c r="F836" s="18">
        <f t="shared" si="287"/>
        <v>0.8443802766548415</v>
      </c>
    </row>
    <row r="837" spans="1:6" ht="23.1" customHeight="1" x14ac:dyDescent="0.25">
      <c r="A837" s="22"/>
      <c r="B837" s="22" t="s">
        <v>532</v>
      </c>
      <c r="C837" s="14">
        <f t="shared" ref="C837" si="292">SUM(C839+C848)</f>
        <v>329</v>
      </c>
      <c r="D837" s="14">
        <f t="shared" ref="D837:E837" si="293">SUM(D839+D848)</f>
        <v>211336</v>
      </c>
      <c r="E837" s="14">
        <f t="shared" si="293"/>
        <v>178800</v>
      </c>
      <c r="F837" s="13">
        <f t="shared" si="287"/>
        <v>0.84604610667373281</v>
      </c>
    </row>
    <row r="838" spans="1:6" ht="23.1" customHeight="1" x14ac:dyDescent="0.25">
      <c r="A838" s="22"/>
      <c r="B838" s="22" t="s">
        <v>22</v>
      </c>
      <c r="C838" s="14"/>
      <c r="D838" s="14"/>
      <c r="E838" s="14"/>
      <c r="F838" s="18"/>
    </row>
    <row r="839" spans="1:6" ht="23.1" customHeight="1" x14ac:dyDescent="0.25">
      <c r="A839" s="22"/>
      <c r="B839" s="22" t="s">
        <v>23</v>
      </c>
      <c r="C839" s="14">
        <f t="shared" ref="C839" si="294">SUM(C840:C847)</f>
        <v>167</v>
      </c>
      <c r="D839" s="14">
        <f t="shared" ref="D839:E839" si="295">SUM(D840:D847)</f>
        <v>98840</v>
      </c>
      <c r="E839" s="14">
        <f t="shared" si="295"/>
        <v>83189</v>
      </c>
      <c r="F839" s="13">
        <f t="shared" ref="F839:F870" si="296">SUM(E839/D839)</f>
        <v>0.84165317685147711</v>
      </c>
    </row>
    <row r="840" spans="1:6" ht="15" customHeight="1" x14ac:dyDescent="0.25">
      <c r="A840" s="15">
        <v>1</v>
      </c>
      <c r="B840" s="15" t="s">
        <v>533</v>
      </c>
      <c r="C840" s="20">
        <v>18</v>
      </c>
      <c r="D840" s="20">
        <v>3707</v>
      </c>
      <c r="E840" s="16">
        <v>2918</v>
      </c>
      <c r="F840" s="18">
        <f t="shared" si="296"/>
        <v>0.78715942810898298</v>
      </c>
    </row>
    <row r="841" spans="1:6" ht="15" customHeight="1" x14ac:dyDescent="0.25">
      <c r="A841" s="15">
        <v>2</v>
      </c>
      <c r="B841" s="15" t="s">
        <v>534</v>
      </c>
      <c r="C841" s="20">
        <v>22</v>
      </c>
      <c r="D841" s="20">
        <v>14684</v>
      </c>
      <c r="E841" s="16">
        <v>12105</v>
      </c>
      <c r="F841" s="18">
        <f t="shared" si="296"/>
        <v>0.82436665758648875</v>
      </c>
    </row>
    <row r="842" spans="1:6" ht="15" customHeight="1" x14ac:dyDescent="0.25">
      <c r="A842" s="15">
        <v>3</v>
      </c>
      <c r="B842" s="15" t="s">
        <v>378</v>
      </c>
      <c r="C842" s="20">
        <v>9</v>
      </c>
      <c r="D842" s="20">
        <v>3249</v>
      </c>
      <c r="E842" s="16">
        <v>2735</v>
      </c>
      <c r="F842" s="18">
        <f t="shared" si="296"/>
        <v>0.84179747614650657</v>
      </c>
    </row>
    <row r="843" spans="1:6" ht="15" customHeight="1" x14ac:dyDescent="0.25">
      <c r="A843" s="15">
        <v>4</v>
      </c>
      <c r="B843" s="15" t="s">
        <v>535</v>
      </c>
      <c r="C843" s="20">
        <v>15</v>
      </c>
      <c r="D843" s="20">
        <v>6468</v>
      </c>
      <c r="E843" s="16">
        <v>5363</v>
      </c>
      <c r="F843" s="18">
        <f t="shared" si="296"/>
        <v>0.82915893630179349</v>
      </c>
    </row>
    <row r="844" spans="1:6" ht="15" customHeight="1" x14ac:dyDescent="0.25">
      <c r="A844" s="15">
        <v>5</v>
      </c>
      <c r="B844" s="15" t="s">
        <v>536</v>
      </c>
      <c r="C844" s="20">
        <v>15</v>
      </c>
      <c r="D844" s="20">
        <v>10215</v>
      </c>
      <c r="E844" s="16">
        <v>8643</v>
      </c>
      <c r="F844" s="18">
        <f t="shared" si="296"/>
        <v>0.84610866372980909</v>
      </c>
    </row>
    <row r="845" spans="1:6" ht="15" customHeight="1" x14ac:dyDescent="0.25">
      <c r="A845" s="15">
        <v>6</v>
      </c>
      <c r="B845" s="15" t="s">
        <v>1399</v>
      </c>
      <c r="C845" s="20">
        <v>41</v>
      </c>
      <c r="D845" s="20">
        <v>27273</v>
      </c>
      <c r="E845" s="16">
        <v>23216</v>
      </c>
      <c r="F845" s="18">
        <f t="shared" si="296"/>
        <v>0.85124482088512443</v>
      </c>
    </row>
    <row r="846" spans="1:6" ht="15" customHeight="1" x14ac:dyDescent="0.25">
      <c r="A846" s="15">
        <v>7</v>
      </c>
      <c r="B846" s="15" t="s">
        <v>262</v>
      </c>
      <c r="C846" s="20">
        <v>25</v>
      </c>
      <c r="D846" s="20">
        <v>16260</v>
      </c>
      <c r="E846" s="16">
        <v>13626</v>
      </c>
      <c r="F846" s="18">
        <f t="shared" si="296"/>
        <v>0.83800738007380071</v>
      </c>
    </row>
    <row r="847" spans="1:6" ht="15" customHeight="1" x14ac:dyDescent="0.25">
      <c r="A847" s="15">
        <v>8</v>
      </c>
      <c r="B847" s="15" t="s">
        <v>537</v>
      </c>
      <c r="C847" s="20">
        <v>22</v>
      </c>
      <c r="D847" s="20">
        <v>16984</v>
      </c>
      <c r="E847" s="16">
        <v>14583</v>
      </c>
      <c r="F847" s="18">
        <f t="shared" si="296"/>
        <v>0.85863165332077251</v>
      </c>
    </row>
    <row r="848" spans="1:6" ht="23.1" customHeight="1" x14ac:dyDescent="0.25">
      <c r="A848" s="22"/>
      <c r="B848" s="22" t="s">
        <v>39</v>
      </c>
      <c r="C848" s="14">
        <f t="shared" ref="C848" si="297">SUM(C849:C857)</f>
        <v>162</v>
      </c>
      <c r="D848" s="14">
        <f t="shared" ref="D848:E848" si="298">SUM(D849:D857)</f>
        <v>112496</v>
      </c>
      <c r="E848" s="14">
        <f t="shared" si="298"/>
        <v>95611</v>
      </c>
      <c r="F848" s="13">
        <f t="shared" si="296"/>
        <v>0.84990577442753523</v>
      </c>
    </row>
    <row r="849" spans="1:6" ht="15" customHeight="1" x14ac:dyDescent="0.25">
      <c r="A849" s="15">
        <v>1</v>
      </c>
      <c r="B849" s="15" t="s">
        <v>538</v>
      </c>
      <c r="C849" s="20">
        <v>18</v>
      </c>
      <c r="D849" s="20">
        <v>11886</v>
      </c>
      <c r="E849" s="16">
        <v>10036</v>
      </c>
      <c r="F849" s="18">
        <f t="shared" si="296"/>
        <v>0.84435470301194682</v>
      </c>
    </row>
    <row r="850" spans="1:6" ht="15" customHeight="1" x14ac:dyDescent="0.25">
      <c r="A850" s="15">
        <v>2</v>
      </c>
      <c r="B850" s="15" t="s">
        <v>539</v>
      </c>
      <c r="C850" s="20">
        <v>13</v>
      </c>
      <c r="D850" s="20">
        <v>8189</v>
      </c>
      <c r="E850" s="16">
        <v>7119</v>
      </c>
      <c r="F850" s="18">
        <f t="shared" si="296"/>
        <v>0.86933691537428259</v>
      </c>
    </row>
    <row r="851" spans="1:6" ht="15" customHeight="1" x14ac:dyDescent="0.25">
      <c r="A851" s="15">
        <v>3</v>
      </c>
      <c r="B851" s="15" t="s">
        <v>540</v>
      </c>
      <c r="C851" s="20">
        <v>8</v>
      </c>
      <c r="D851" s="20">
        <v>5410</v>
      </c>
      <c r="E851" s="16">
        <v>4722</v>
      </c>
      <c r="F851" s="18">
        <f t="shared" si="296"/>
        <v>0.87282809611829948</v>
      </c>
    </row>
    <row r="852" spans="1:6" ht="15" customHeight="1" x14ac:dyDescent="0.25">
      <c r="A852" s="15">
        <v>4</v>
      </c>
      <c r="B852" s="15" t="s">
        <v>498</v>
      </c>
      <c r="C852" s="20">
        <v>21</v>
      </c>
      <c r="D852" s="20">
        <v>15595</v>
      </c>
      <c r="E852" s="16">
        <v>12698</v>
      </c>
      <c r="F852" s="18">
        <f t="shared" si="296"/>
        <v>0.81423533183712726</v>
      </c>
    </row>
    <row r="853" spans="1:6" ht="15" customHeight="1" x14ac:dyDescent="0.25">
      <c r="A853" s="15">
        <v>5</v>
      </c>
      <c r="B853" s="15" t="s">
        <v>1256</v>
      </c>
      <c r="C853" s="20">
        <v>45</v>
      </c>
      <c r="D853" s="20">
        <v>33100</v>
      </c>
      <c r="E853" s="16">
        <v>28883</v>
      </c>
      <c r="F853" s="18">
        <f t="shared" si="296"/>
        <v>0.87259818731117822</v>
      </c>
    </row>
    <row r="854" spans="1:6" ht="15" customHeight="1" x14ac:dyDescent="0.25">
      <c r="A854" s="15">
        <v>6</v>
      </c>
      <c r="B854" s="15" t="s">
        <v>470</v>
      </c>
      <c r="C854" s="20">
        <v>20</v>
      </c>
      <c r="D854" s="20">
        <v>12090</v>
      </c>
      <c r="E854" s="16">
        <v>10429</v>
      </c>
      <c r="F854" s="18">
        <f t="shared" si="296"/>
        <v>0.8626137303556658</v>
      </c>
    </row>
    <row r="855" spans="1:6" ht="15" customHeight="1" x14ac:dyDescent="0.25">
      <c r="A855" s="15">
        <v>7</v>
      </c>
      <c r="B855" s="15" t="s">
        <v>374</v>
      </c>
      <c r="C855" s="20">
        <v>10</v>
      </c>
      <c r="D855" s="20">
        <v>7584</v>
      </c>
      <c r="E855" s="16">
        <v>6477</v>
      </c>
      <c r="F855" s="18">
        <f t="shared" si="296"/>
        <v>0.85403481012658233</v>
      </c>
    </row>
    <row r="856" spans="1:6" ht="15" customHeight="1" x14ac:dyDescent="0.25">
      <c r="A856" s="15">
        <v>8</v>
      </c>
      <c r="B856" s="15" t="s">
        <v>1257</v>
      </c>
      <c r="C856" s="20">
        <v>18</v>
      </c>
      <c r="D856" s="20">
        <v>11926</v>
      </c>
      <c r="E856" s="16">
        <v>9845</v>
      </c>
      <c r="F856" s="18">
        <f t="shared" si="296"/>
        <v>0.82550729498574538</v>
      </c>
    </row>
    <row r="857" spans="1:6" ht="15" customHeight="1" x14ac:dyDescent="0.25">
      <c r="A857" s="15">
        <v>9</v>
      </c>
      <c r="B857" s="15" t="s">
        <v>1400</v>
      </c>
      <c r="C857" s="16">
        <v>9</v>
      </c>
      <c r="D857" s="16">
        <v>6716</v>
      </c>
      <c r="E857" s="16">
        <v>5402</v>
      </c>
      <c r="F857" s="18">
        <f t="shared" si="296"/>
        <v>0.80434782608695654</v>
      </c>
    </row>
    <row r="858" spans="1:6" ht="23.1" customHeight="1" x14ac:dyDescent="0.25">
      <c r="A858" s="140" t="s">
        <v>541</v>
      </c>
      <c r="B858" s="140"/>
      <c r="C858" s="14">
        <f t="shared" ref="C858" si="299">SUM(C859+C881+C896+C939+C954+C979)</f>
        <v>5877</v>
      </c>
      <c r="D858" s="14">
        <f t="shared" ref="D858:E858" si="300">SUM(D859+D881+D896+D939+D954+D979)</f>
        <v>4053977</v>
      </c>
      <c r="E858" s="14">
        <f t="shared" si="300"/>
        <v>3450811</v>
      </c>
      <c r="F858" s="13">
        <f t="shared" si="296"/>
        <v>0.85121622544972508</v>
      </c>
    </row>
    <row r="859" spans="1:6" ht="23.1" customHeight="1" x14ac:dyDescent="0.25">
      <c r="A859" s="22"/>
      <c r="B859" s="22" t="s">
        <v>542</v>
      </c>
      <c r="C859" s="14">
        <f t="shared" ref="C859" si="301">SUM(C860+C867+C873)</f>
        <v>1326</v>
      </c>
      <c r="D859" s="14">
        <f t="shared" ref="D859:E859" si="302">SUM(D860+D867+D873)</f>
        <v>940114</v>
      </c>
      <c r="E859" s="14">
        <f t="shared" si="302"/>
        <v>840183</v>
      </c>
      <c r="F859" s="13">
        <f t="shared" si="296"/>
        <v>0.8937033168317885</v>
      </c>
    </row>
    <row r="860" spans="1:6" ht="23.1" customHeight="1" x14ac:dyDescent="0.25">
      <c r="A860" s="22"/>
      <c r="B860" s="22" t="s">
        <v>6</v>
      </c>
      <c r="C860" s="14">
        <f t="shared" ref="C860" si="303">SUM(C861:C866)</f>
        <v>383</v>
      </c>
      <c r="D860" s="14">
        <f t="shared" ref="D860:E860" si="304">SUM(D861:D866)</f>
        <v>274912</v>
      </c>
      <c r="E860" s="14">
        <f t="shared" si="304"/>
        <v>244196</v>
      </c>
      <c r="F860" s="13">
        <f t="shared" si="296"/>
        <v>0.88826970084972645</v>
      </c>
    </row>
    <row r="861" spans="1:6" ht="15" customHeight="1" x14ac:dyDescent="0.25">
      <c r="A861" s="15">
        <v>1</v>
      </c>
      <c r="B861" s="15" t="s">
        <v>543</v>
      </c>
      <c r="C861" s="20">
        <v>81</v>
      </c>
      <c r="D861" s="20">
        <v>51806</v>
      </c>
      <c r="E861" s="16">
        <v>45692</v>
      </c>
      <c r="F861" s="18">
        <f t="shared" si="296"/>
        <v>0.8819827819171524</v>
      </c>
    </row>
    <row r="862" spans="1:6" ht="15" customHeight="1" x14ac:dyDescent="0.25">
      <c r="A862" s="15">
        <v>2</v>
      </c>
      <c r="B862" s="15" t="s">
        <v>544</v>
      </c>
      <c r="C862" s="20">
        <v>42</v>
      </c>
      <c r="D862" s="20">
        <v>32016</v>
      </c>
      <c r="E862" s="16">
        <v>28563</v>
      </c>
      <c r="F862" s="18">
        <f t="shared" si="296"/>
        <v>0.89214767616191903</v>
      </c>
    </row>
    <row r="863" spans="1:6" ht="15" customHeight="1" x14ac:dyDescent="0.25">
      <c r="A863" s="15">
        <v>3</v>
      </c>
      <c r="B863" s="15" t="s">
        <v>545</v>
      </c>
      <c r="C863" s="20">
        <v>50</v>
      </c>
      <c r="D863" s="20">
        <v>34775</v>
      </c>
      <c r="E863" s="16">
        <v>29986</v>
      </c>
      <c r="F863" s="18">
        <f t="shared" si="296"/>
        <v>0.86228612508986335</v>
      </c>
    </row>
    <row r="864" spans="1:6" ht="15" customHeight="1" x14ac:dyDescent="0.25">
      <c r="A864" s="15">
        <v>4</v>
      </c>
      <c r="B864" s="15" t="s">
        <v>1401</v>
      </c>
      <c r="C864" s="20">
        <v>40</v>
      </c>
      <c r="D864" s="20">
        <v>27856</v>
      </c>
      <c r="E864" s="16">
        <v>25612</v>
      </c>
      <c r="F864" s="18">
        <f t="shared" si="296"/>
        <v>0.91944284893739225</v>
      </c>
    </row>
    <row r="865" spans="1:6" ht="15" customHeight="1" x14ac:dyDescent="0.25">
      <c r="A865" s="15">
        <v>5</v>
      </c>
      <c r="B865" s="15" t="s">
        <v>546</v>
      </c>
      <c r="C865" s="20">
        <v>53</v>
      </c>
      <c r="D865" s="20">
        <v>39155</v>
      </c>
      <c r="E865" s="16">
        <v>34753</v>
      </c>
      <c r="F865" s="18">
        <f t="shared" si="296"/>
        <v>0.88757502234708208</v>
      </c>
    </row>
    <row r="866" spans="1:6" ht="15" customHeight="1" x14ac:dyDescent="0.25">
      <c r="A866" s="15"/>
      <c r="B866" s="24" t="s">
        <v>1402</v>
      </c>
      <c r="C866" s="20">
        <v>117</v>
      </c>
      <c r="D866" s="20">
        <v>89304</v>
      </c>
      <c r="E866" s="16">
        <v>79590</v>
      </c>
      <c r="F866" s="18">
        <f t="shared" si="296"/>
        <v>0.89122547702230581</v>
      </c>
    </row>
    <row r="867" spans="1:6" ht="23.1" customHeight="1" x14ac:dyDescent="0.25">
      <c r="A867" s="22"/>
      <c r="B867" s="22" t="s">
        <v>7</v>
      </c>
      <c r="C867" s="14">
        <f t="shared" ref="C867" si="305">SUM(C868:C872)</f>
        <v>449</v>
      </c>
      <c r="D867" s="14">
        <f t="shared" ref="D867:E867" si="306">SUM(D868:D872)</f>
        <v>327382</v>
      </c>
      <c r="E867" s="14">
        <f t="shared" si="306"/>
        <v>296740</v>
      </c>
      <c r="F867" s="13">
        <f t="shared" si="296"/>
        <v>0.9064029176924816</v>
      </c>
    </row>
    <row r="868" spans="1:6" ht="15" customHeight="1" x14ac:dyDescent="0.25">
      <c r="A868" s="15">
        <v>1</v>
      </c>
      <c r="B868" s="15" t="s">
        <v>547</v>
      </c>
      <c r="C868" s="20">
        <v>76</v>
      </c>
      <c r="D868" s="20">
        <v>47648</v>
      </c>
      <c r="E868" s="16">
        <v>42568</v>
      </c>
      <c r="F868" s="18">
        <f t="shared" si="296"/>
        <v>0.8933848220282069</v>
      </c>
    </row>
    <row r="869" spans="1:6" ht="15" customHeight="1" x14ac:dyDescent="0.25">
      <c r="A869" s="15">
        <v>2</v>
      </c>
      <c r="B869" s="15" t="s">
        <v>1403</v>
      </c>
      <c r="C869" s="20">
        <v>119</v>
      </c>
      <c r="D869" s="20">
        <v>90048</v>
      </c>
      <c r="E869" s="16">
        <v>81129</v>
      </c>
      <c r="F869" s="18">
        <f t="shared" si="296"/>
        <v>0.90095282515991471</v>
      </c>
    </row>
    <row r="870" spans="1:6" ht="15" customHeight="1" x14ac:dyDescent="0.25">
      <c r="A870" s="15">
        <v>3</v>
      </c>
      <c r="B870" s="15" t="s">
        <v>548</v>
      </c>
      <c r="C870" s="20">
        <v>23</v>
      </c>
      <c r="D870" s="20">
        <v>18670</v>
      </c>
      <c r="E870" s="16">
        <v>16617</v>
      </c>
      <c r="F870" s="18">
        <f t="shared" si="296"/>
        <v>0.890037493304767</v>
      </c>
    </row>
    <row r="871" spans="1:6" ht="15" customHeight="1" x14ac:dyDescent="0.25">
      <c r="A871" s="15">
        <v>4</v>
      </c>
      <c r="B871" s="15" t="s">
        <v>549</v>
      </c>
      <c r="C871" s="20">
        <v>42</v>
      </c>
      <c r="D871" s="20">
        <v>23634</v>
      </c>
      <c r="E871" s="16">
        <v>20727</v>
      </c>
      <c r="F871" s="18">
        <f t="shared" ref="F871:F902" si="307">SUM(E871/D871)</f>
        <v>0.87699923838537697</v>
      </c>
    </row>
    <row r="872" spans="1:6" ht="15" customHeight="1" x14ac:dyDescent="0.25">
      <c r="A872" s="15"/>
      <c r="B872" s="24" t="s">
        <v>1404</v>
      </c>
      <c r="C872" s="19">
        <v>189</v>
      </c>
      <c r="D872" s="19">
        <v>147382</v>
      </c>
      <c r="E872" s="16">
        <v>135699</v>
      </c>
      <c r="F872" s="18">
        <f t="shared" si="307"/>
        <v>0.92072980418232886</v>
      </c>
    </row>
    <row r="873" spans="1:6" ht="23.1" customHeight="1" x14ac:dyDescent="0.25">
      <c r="A873" s="22"/>
      <c r="B873" s="22" t="s">
        <v>8</v>
      </c>
      <c r="C873" s="14">
        <f t="shared" ref="C873" si="308">SUM(C874:C880)</f>
        <v>494</v>
      </c>
      <c r="D873" s="14">
        <f t="shared" ref="D873:E873" si="309">SUM(D874:D880)</f>
        <v>337820</v>
      </c>
      <c r="E873" s="14">
        <f t="shared" si="309"/>
        <v>299247</v>
      </c>
      <c r="F873" s="13">
        <f t="shared" si="307"/>
        <v>0.88581789118465459</v>
      </c>
    </row>
    <row r="874" spans="1:6" ht="15" customHeight="1" x14ac:dyDescent="0.25">
      <c r="A874" s="15">
        <v>1</v>
      </c>
      <c r="B874" s="15" t="s">
        <v>550</v>
      </c>
      <c r="C874" s="20">
        <v>83</v>
      </c>
      <c r="D874" s="20">
        <v>60427</v>
      </c>
      <c r="E874" s="16">
        <v>54262</v>
      </c>
      <c r="F874" s="18">
        <f t="shared" si="307"/>
        <v>0.8979760702997005</v>
      </c>
    </row>
    <row r="875" spans="1:6" ht="15" customHeight="1" x14ac:dyDescent="0.25">
      <c r="A875" s="15">
        <v>2</v>
      </c>
      <c r="B875" s="15" t="s">
        <v>1306</v>
      </c>
      <c r="C875" s="20">
        <v>26</v>
      </c>
      <c r="D875" s="20">
        <v>12455</v>
      </c>
      <c r="E875" s="16">
        <v>11151</v>
      </c>
      <c r="F875" s="18">
        <f t="shared" si="307"/>
        <v>0.89530309112806106</v>
      </c>
    </row>
    <row r="876" spans="1:6" ht="15" customHeight="1" x14ac:dyDescent="0.25">
      <c r="A876" s="15">
        <v>3</v>
      </c>
      <c r="B876" s="15" t="s">
        <v>551</v>
      </c>
      <c r="C876" s="20">
        <v>73</v>
      </c>
      <c r="D876" s="20">
        <v>47238</v>
      </c>
      <c r="E876" s="16">
        <v>41686</v>
      </c>
      <c r="F876" s="18">
        <f t="shared" si="307"/>
        <v>0.88246750497480841</v>
      </c>
    </row>
    <row r="877" spans="1:6" ht="15" customHeight="1" x14ac:dyDescent="0.25">
      <c r="A877" s="15">
        <v>4</v>
      </c>
      <c r="B877" s="15" t="s">
        <v>552</v>
      </c>
      <c r="C877" s="20">
        <v>72</v>
      </c>
      <c r="D877" s="20">
        <v>44774</v>
      </c>
      <c r="E877" s="16">
        <v>39341</v>
      </c>
      <c r="F877" s="18">
        <f t="shared" si="307"/>
        <v>0.8786572564434717</v>
      </c>
    </row>
    <row r="878" spans="1:6" ht="15" customHeight="1" x14ac:dyDescent="0.25">
      <c r="A878" s="15">
        <v>5</v>
      </c>
      <c r="B878" s="15" t="s">
        <v>553</v>
      </c>
      <c r="C878" s="20">
        <v>50</v>
      </c>
      <c r="D878" s="20">
        <v>34500</v>
      </c>
      <c r="E878" s="16">
        <v>29562</v>
      </c>
      <c r="F878" s="18">
        <f t="shared" si="307"/>
        <v>0.85686956521739133</v>
      </c>
    </row>
    <row r="879" spans="1:6" ht="15" customHeight="1" x14ac:dyDescent="0.25">
      <c r="A879" s="15">
        <v>6</v>
      </c>
      <c r="B879" s="15" t="s">
        <v>554</v>
      </c>
      <c r="C879" s="20">
        <v>85</v>
      </c>
      <c r="D879" s="20">
        <v>63009</v>
      </c>
      <c r="E879" s="16">
        <v>55989</v>
      </c>
      <c r="F879" s="18">
        <f t="shared" si="307"/>
        <v>0.88858734466504785</v>
      </c>
    </row>
    <row r="880" spans="1:6" ht="15" customHeight="1" x14ac:dyDescent="0.25">
      <c r="A880" s="15"/>
      <c r="B880" s="24" t="s">
        <v>1405</v>
      </c>
      <c r="C880" s="20">
        <v>105</v>
      </c>
      <c r="D880" s="20">
        <v>75417</v>
      </c>
      <c r="E880" s="16">
        <v>67256</v>
      </c>
      <c r="F880" s="18">
        <f t="shared" si="307"/>
        <v>0.89178832358752003</v>
      </c>
    </row>
    <row r="881" spans="1:6" ht="23.1" customHeight="1" x14ac:dyDescent="0.25">
      <c r="A881" s="22"/>
      <c r="B881" s="22" t="s">
        <v>555</v>
      </c>
      <c r="C881" s="14">
        <f t="shared" ref="C881" si="310">SUM(C882+C888)</f>
        <v>538</v>
      </c>
      <c r="D881" s="14">
        <f t="shared" ref="D881:E881" si="311">SUM(D882+D888)</f>
        <v>396583</v>
      </c>
      <c r="E881" s="14">
        <f t="shared" si="311"/>
        <v>338181</v>
      </c>
      <c r="F881" s="13">
        <f t="shared" si="307"/>
        <v>0.85273700587266721</v>
      </c>
    </row>
    <row r="882" spans="1:6" ht="23.1" customHeight="1" x14ac:dyDescent="0.25">
      <c r="A882" s="22"/>
      <c r="B882" s="22" t="s">
        <v>6</v>
      </c>
      <c r="C882" s="14">
        <f t="shared" ref="C882" si="312">SUM(C883:C887)</f>
        <v>275</v>
      </c>
      <c r="D882" s="14">
        <f t="shared" ref="D882:E882" si="313">SUM(D883:D887)</f>
        <v>196307</v>
      </c>
      <c r="E882" s="14">
        <f t="shared" si="313"/>
        <v>166946</v>
      </c>
      <c r="F882" s="13">
        <f t="shared" si="307"/>
        <v>0.85043324996052105</v>
      </c>
    </row>
    <row r="883" spans="1:6" ht="15" customHeight="1" x14ac:dyDescent="0.25">
      <c r="A883" s="15">
        <v>1</v>
      </c>
      <c r="B883" s="15" t="s">
        <v>556</v>
      </c>
      <c r="C883" s="20">
        <v>39</v>
      </c>
      <c r="D883" s="20">
        <v>25020</v>
      </c>
      <c r="E883" s="16">
        <v>21772</v>
      </c>
      <c r="F883" s="18">
        <f t="shared" si="307"/>
        <v>0.87018385291766587</v>
      </c>
    </row>
    <row r="884" spans="1:6" ht="15" customHeight="1" x14ac:dyDescent="0.25">
      <c r="A884" s="15">
        <v>2</v>
      </c>
      <c r="B884" s="15" t="s">
        <v>557</v>
      </c>
      <c r="C884" s="20">
        <v>50</v>
      </c>
      <c r="D884" s="20">
        <v>35758</v>
      </c>
      <c r="E884" s="16">
        <v>29673</v>
      </c>
      <c r="F884" s="18">
        <f t="shared" si="307"/>
        <v>0.82982829017282844</v>
      </c>
    </row>
    <row r="885" spans="1:6" ht="15" customHeight="1" x14ac:dyDescent="0.25">
      <c r="A885" s="15">
        <v>3</v>
      </c>
      <c r="B885" s="15" t="s">
        <v>558</v>
      </c>
      <c r="C885" s="20">
        <v>96</v>
      </c>
      <c r="D885" s="20">
        <v>69008</v>
      </c>
      <c r="E885" s="16">
        <v>58305</v>
      </c>
      <c r="F885" s="18">
        <f t="shared" si="307"/>
        <v>0.84490204034314864</v>
      </c>
    </row>
    <row r="886" spans="1:6" ht="15" customHeight="1" x14ac:dyDescent="0.25">
      <c r="A886" s="15">
        <v>4</v>
      </c>
      <c r="B886" s="15" t="s">
        <v>559</v>
      </c>
      <c r="C886" s="20">
        <v>51</v>
      </c>
      <c r="D886" s="20">
        <v>38292</v>
      </c>
      <c r="E886" s="16">
        <v>32934</v>
      </c>
      <c r="F886" s="18">
        <f t="shared" si="307"/>
        <v>0.86007521153243494</v>
      </c>
    </row>
    <row r="887" spans="1:6" ht="15" customHeight="1" x14ac:dyDescent="0.25">
      <c r="A887" s="15">
        <v>5</v>
      </c>
      <c r="B887" s="15" t="s">
        <v>560</v>
      </c>
      <c r="C887" s="20">
        <v>39</v>
      </c>
      <c r="D887" s="20">
        <v>28229</v>
      </c>
      <c r="E887" s="16">
        <v>24262</v>
      </c>
      <c r="F887" s="18">
        <f t="shared" si="307"/>
        <v>0.85947075702291964</v>
      </c>
    </row>
    <row r="888" spans="1:6" ht="23.1" customHeight="1" x14ac:dyDescent="0.25">
      <c r="A888" s="22"/>
      <c r="B888" s="22" t="s">
        <v>7</v>
      </c>
      <c r="C888" s="14">
        <f t="shared" ref="C888" si="314">SUM(C889:C895)</f>
        <v>263</v>
      </c>
      <c r="D888" s="14">
        <f t="shared" ref="D888:E888" si="315">SUM(D889:D895)</f>
        <v>200276</v>
      </c>
      <c r="E888" s="14">
        <f t="shared" si="315"/>
        <v>171235</v>
      </c>
      <c r="F888" s="13">
        <f t="shared" si="307"/>
        <v>0.85499510675268131</v>
      </c>
    </row>
    <row r="889" spans="1:6" ht="15" customHeight="1" x14ac:dyDescent="0.25">
      <c r="A889" s="15">
        <v>1</v>
      </c>
      <c r="B889" s="15" t="s">
        <v>561</v>
      </c>
      <c r="C889" s="20">
        <v>43</v>
      </c>
      <c r="D889" s="20">
        <v>29623</v>
      </c>
      <c r="E889" s="16">
        <v>25631</v>
      </c>
      <c r="F889" s="18">
        <f t="shared" si="307"/>
        <v>0.86523984741585935</v>
      </c>
    </row>
    <row r="890" spans="1:6" ht="15" customHeight="1" x14ac:dyDescent="0.25">
      <c r="A890" s="15">
        <v>2</v>
      </c>
      <c r="B890" s="15" t="s">
        <v>1406</v>
      </c>
      <c r="C890" s="20">
        <v>78</v>
      </c>
      <c r="D890" s="20">
        <v>65566</v>
      </c>
      <c r="E890" s="16">
        <v>54580</v>
      </c>
      <c r="F890" s="18">
        <f t="shared" si="307"/>
        <v>0.8324436445718818</v>
      </c>
    </row>
    <row r="891" spans="1:6" ht="15" customHeight="1" x14ac:dyDescent="0.25">
      <c r="A891" s="15">
        <v>3</v>
      </c>
      <c r="B891" s="15" t="s">
        <v>562</v>
      </c>
      <c r="C891" s="20">
        <v>48</v>
      </c>
      <c r="D891" s="20">
        <v>35954</v>
      </c>
      <c r="E891" s="16">
        <v>31122</v>
      </c>
      <c r="F891" s="18">
        <f t="shared" si="307"/>
        <v>0.86560605217778275</v>
      </c>
    </row>
    <row r="892" spans="1:6" ht="15" customHeight="1" x14ac:dyDescent="0.25">
      <c r="A892" s="15">
        <v>4</v>
      </c>
      <c r="B892" s="15" t="s">
        <v>1407</v>
      </c>
      <c r="C892" s="20">
        <v>16</v>
      </c>
      <c r="D892" s="20">
        <v>11501</v>
      </c>
      <c r="E892" s="16">
        <v>10191</v>
      </c>
      <c r="F892" s="18">
        <f t="shared" si="307"/>
        <v>0.8860968611425093</v>
      </c>
    </row>
    <row r="893" spans="1:6" ht="15" customHeight="1" x14ac:dyDescent="0.25">
      <c r="A893" s="15">
        <v>5</v>
      </c>
      <c r="B893" s="15" t="s">
        <v>124</v>
      </c>
      <c r="C893" s="20">
        <v>14</v>
      </c>
      <c r="D893" s="20">
        <v>9481</v>
      </c>
      <c r="E893" s="16">
        <v>8401</v>
      </c>
      <c r="F893" s="18">
        <f t="shared" si="307"/>
        <v>0.88608796540449319</v>
      </c>
    </row>
    <row r="894" spans="1:6" ht="15" customHeight="1" x14ac:dyDescent="0.25">
      <c r="A894" s="15">
        <v>6</v>
      </c>
      <c r="B894" s="15" t="s">
        <v>410</v>
      </c>
      <c r="C894" s="20">
        <v>25</v>
      </c>
      <c r="D894" s="20">
        <v>18147</v>
      </c>
      <c r="E894" s="16">
        <v>15476</v>
      </c>
      <c r="F894" s="18">
        <f t="shared" si="307"/>
        <v>0.85281313715765694</v>
      </c>
    </row>
    <row r="895" spans="1:6" ht="15" customHeight="1" x14ac:dyDescent="0.25">
      <c r="A895" s="15">
        <v>7</v>
      </c>
      <c r="B895" s="15" t="s">
        <v>563</v>
      </c>
      <c r="C895" s="20">
        <v>39</v>
      </c>
      <c r="D895" s="20">
        <v>30004</v>
      </c>
      <c r="E895" s="16">
        <v>25834</v>
      </c>
      <c r="F895" s="18">
        <f t="shared" si="307"/>
        <v>0.86101853086255165</v>
      </c>
    </row>
    <row r="896" spans="1:6" ht="23.1" customHeight="1" x14ac:dyDescent="0.25">
      <c r="A896" s="22"/>
      <c r="B896" s="22" t="s">
        <v>564</v>
      </c>
      <c r="C896" s="14">
        <f t="shared" ref="C896" si="316">SUM(C897+C903+C911+C920+C931)</f>
        <v>1925</v>
      </c>
      <c r="D896" s="14">
        <f t="shared" ref="D896:E896" si="317">SUM(D897+D903+D911+D920+D931)</f>
        <v>1344062</v>
      </c>
      <c r="E896" s="14">
        <f t="shared" si="317"/>
        <v>1132355</v>
      </c>
      <c r="F896" s="13">
        <f t="shared" si="307"/>
        <v>0.84248717693082609</v>
      </c>
    </row>
    <row r="897" spans="1:6" ht="23.1" customHeight="1" x14ac:dyDescent="0.25">
      <c r="A897" s="22"/>
      <c r="B897" s="22" t="s">
        <v>6</v>
      </c>
      <c r="C897" s="14">
        <f t="shared" ref="C897" si="318">SUM(C898:C902)</f>
        <v>231</v>
      </c>
      <c r="D897" s="14">
        <f t="shared" ref="D897:E897" si="319">SUM(D898:D902)</f>
        <v>142177</v>
      </c>
      <c r="E897" s="14">
        <f t="shared" si="319"/>
        <v>121265</v>
      </c>
      <c r="F897" s="13">
        <f t="shared" si="307"/>
        <v>0.85291573179909552</v>
      </c>
    </row>
    <row r="898" spans="1:6" ht="15" customHeight="1" x14ac:dyDescent="0.25">
      <c r="A898" s="15">
        <v>1</v>
      </c>
      <c r="B898" s="15" t="s">
        <v>565</v>
      </c>
      <c r="C898" s="20">
        <v>22</v>
      </c>
      <c r="D898" s="20">
        <v>14904</v>
      </c>
      <c r="E898" s="16">
        <v>12841</v>
      </c>
      <c r="F898" s="18">
        <f t="shared" si="307"/>
        <v>0.86158078368223301</v>
      </c>
    </row>
    <row r="899" spans="1:6" ht="15" customHeight="1" x14ac:dyDescent="0.25">
      <c r="A899" s="15">
        <v>2</v>
      </c>
      <c r="B899" s="15" t="s">
        <v>566</v>
      </c>
      <c r="C899" s="20">
        <v>36</v>
      </c>
      <c r="D899" s="20">
        <v>18821</v>
      </c>
      <c r="E899" s="16">
        <v>15477</v>
      </c>
      <c r="F899" s="18">
        <f t="shared" si="307"/>
        <v>0.82232612507305669</v>
      </c>
    </row>
    <row r="900" spans="1:6" ht="15" customHeight="1" x14ac:dyDescent="0.25">
      <c r="A900" s="15">
        <v>3</v>
      </c>
      <c r="B900" s="15" t="s">
        <v>567</v>
      </c>
      <c r="C900" s="20">
        <v>45</v>
      </c>
      <c r="D900" s="20">
        <v>22585</v>
      </c>
      <c r="E900" s="16">
        <v>19521</v>
      </c>
      <c r="F900" s="18">
        <f t="shared" si="307"/>
        <v>0.86433473544387873</v>
      </c>
    </row>
    <row r="901" spans="1:6" ht="15" customHeight="1" x14ac:dyDescent="0.25">
      <c r="A901" s="15">
        <v>4</v>
      </c>
      <c r="B901" s="15" t="s">
        <v>568</v>
      </c>
      <c r="C901" s="20">
        <v>61</v>
      </c>
      <c r="D901" s="20">
        <v>41000</v>
      </c>
      <c r="E901" s="16">
        <v>35180</v>
      </c>
      <c r="F901" s="18">
        <f t="shared" si="307"/>
        <v>0.85804878048780486</v>
      </c>
    </row>
    <row r="902" spans="1:6" ht="15" customHeight="1" x14ac:dyDescent="0.25">
      <c r="A902" s="15">
        <v>5</v>
      </c>
      <c r="B902" s="15" t="s">
        <v>569</v>
      </c>
      <c r="C902" s="20">
        <v>67</v>
      </c>
      <c r="D902" s="20">
        <v>44867</v>
      </c>
      <c r="E902" s="16">
        <v>38246</v>
      </c>
      <c r="F902" s="18">
        <f t="shared" si="307"/>
        <v>0.85243051686094462</v>
      </c>
    </row>
    <row r="903" spans="1:6" ht="23.1" customHeight="1" x14ac:dyDescent="0.25">
      <c r="A903" s="22"/>
      <c r="B903" s="22" t="s">
        <v>7</v>
      </c>
      <c r="C903" s="14">
        <f t="shared" ref="C903" si="320">SUM(C904:C910)</f>
        <v>325</v>
      </c>
      <c r="D903" s="14">
        <f t="shared" ref="D903:E903" si="321">SUM(D904:D910)</f>
        <v>222775</v>
      </c>
      <c r="E903" s="14">
        <f t="shared" si="321"/>
        <v>184944</v>
      </c>
      <c r="F903" s="13">
        <f t="shared" ref="F903:F934" si="322">SUM(E903/D903)</f>
        <v>0.83018291998653349</v>
      </c>
    </row>
    <row r="904" spans="1:6" ht="15" customHeight="1" x14ac:dyDescent="0.25">
      <c r="A904" s="15">
        <v>1</v>
      </c>
      <c r="B904" s="15" t="s">
        <v>570</v>
      </c>
      <c r="C904" s="20">
        <v>15</v>
      </c>
      <c r="D904" s="20">
        <v>9601</v>
      </c>
      <c r="E904" s="16">
        <v>7924</v>
      </c>
      <c r="F904" s="18">
        <f t="shared" si="322"/>
        <v>0.8253306947193001</v>
      </c>
    </row>
    <row r="905" spans="1:6" ht="15" customHeight="1" x14ac:dyDescent="0.25">
      <c r="A905" s="15">
        <v>2</v>
      </c>
      <c r="B905" s="15" t="s">
        <v>571</v>
      </c>
      <c r="C905" s="20">
        <v>114</v>
      </c>
      <c r="D905" s="20">
        <v>72704</v>
      </c>
      <c r="E905" s="16">
        <v>59094</v>
      </c>
      <c r="F905" s="18">
        <f t="shared" si="322"/>
        <v>0.81280259683098588</v>
      </c>
    </row>
    <row r="906" spans="1:6" ht="15" customHeight="1" x14ac:dyDescent="0.25">
      <c r="A906" s="15">
        <v>3</v>
      </c>
      <c r="B906" s="15" t="s">
        <v>572</v>
      </c>
      <c r="C906" s="20">
        <v>38</v>
      </c>
      <c r="D906" s="20">
        <v>24479</v>
      </c>
      <c r="E906" s="16">
        <v>21779</v>
      </c>
      <c r="F906" s="18">
        <f t="shared" si="322"/>
        <v>0.88970137669022431</v>
      </c>
    </row>
    <row r="907" spans="1:6" ht="15" customHeight="1" x14ac:dyDescent="0.25">
      <c r="A907" s="15">
        <v>4</v>
      </c>
      <c r="B907" s="15" t="s">
        <v>573</v>
      </c>
      <c r="C907" s="20">
        <v>47</v>
      </c>
      <c r="D907" s="20">
        <v>33759</v>
      </c>
      <c r="E907" s="16">
        <v>26986</v>
      </c>
      <c r="F907" s="18">
        <f t="shared" si="322"/>
        <v>0.79937201931336832</v>
      </c>
    </row>
    <row r="908" spans="1:6" ht="15" customHeight="1" x14ac:dyDescent="0.25">
      <c r="A908" s="15">
        <v>5</v>
      </c>
      <c r="B908" s="15" t="s">
        <v>225</v>
      </c>
      <c r="C908" s="20">
        <v>33</v>
      </c>
      <c r="D908" s="20">
        <v>24626</v>
      </c>
      <c r="E908" s="16">
        <v>21293</v>
      </c>
      <c r="F908" s="18">
        <f t="shared" si="322"/>
        <v>0.86465524242670344</v>
      </c>
    </row>
    <row r="909" spans="1:6" ht="15" customHeight="1" x14ac:dyDescent="0.25">
      <c r="A909" s="15">
        <v>6</v>
      </c>
      <c r="B909" s="15" t="s">
        <v>574</v>
      </c>
      <c r="C909" s="20">
        <v>42</v>
      </c>
      <c r="D909" s="20">
        <v>32413</v>
      </c>
      <c r="E909" s="16">
        <v>26304</v>
      </c>
      <c r="F909" s="18">
        <f t="shared" si="322"/>
        <v>0.8115262394718169</v>
      </c>
    </row>
    <row r="910" spans="1:6" ht="15" customHeight="1" x14ac:dyDescent="0.25">
      <c r="A910" s="15">
        <v>7</v>
      </c>
      <c r="B910" s="15" t="s">
        <v>537</v>
      </c>
      <c r="C910" s="20">
        <v>36</v>
      </c>
      <c r="D910" s="20">
        <v>25193</v>
      </c>
      <c r="E910" s="16">
        <v>21564</v>
      </c>
      <c r="F910" s="18">
        <f t="shared" si="322"/>
        <v>0.85595205017266696</v>
      </c>
    </row>
    <row r="911" spans="1:6" ht="23.1" customHeight="1" x14ac:dyDescent="0.25">
      <c r="A911" s="22"/>
      <c r="B911" s="22" t="s">
        <v>8</v>
      </c>
      <c r="C911" s="14">
        <f t="shared" ref="C911" si="323">SUM(C912:C919)</f>
        <v>450</v>
      </c>
      <c r="D911" s="14">
        <f t="shared" ref="D911:E911" si="324">SUM(D912:D919)</f>
        <v>339588</v>
      </c>
      <c r="E911" s="14">
        <f t="shared" si="324"/>
        <v>281492</v>
      </c>
      <c r="F911" s="13">
        <f t="shared" si="322"/>
        <v>0.82892210561032786</v>
      </c>
    </row>
    <row r="912" spans="1:6" ht="15" customHeight="1" x14ac:dyDescent="0.25">
      <c r="A912" s="15">
        <v>1</v>
      </c>
      <c r="B912" s="15" t="s">
        <v>575</v>
      </c>
      <c r="C912" s="20">
        <v>16</v>
      </c>
      <c r="D912" s="20">
        <v>12110</v>
      </c>
      <c r="E912" s="16">
        <v>10464</v>
      </c>
      <c r="F912" s="18">
        <f t="shared" si="322"/>
        <v>0.86407927332782819</v>
      </c>
    </row>
    <row r="913" spans="1:6" ht="15" customHeight="1" x14ac:dyDescent="0.25">
      <c r="A913" s="15">
        <v>2</v>
      </c>
      <c r="B913" s="15" t="s">
        <v>576</v>
      </c>
      <c r="C913" s="20">
        <v>83</v>
      </c>
      <c r="D913" s="20">
        <v>56728</v>
      </c>
      <c r="E913" s="16">
        <v>46406</v>
      </c>
      <c r="F913" s="18">
        <f t="shared" si="322"/>
        <v>0.81804399943590467</v>
      </c>
    </row>
    <row r="914" spans="1:6" ht="15" customHeight="1" x14ac:dyDescent="0.25">
      <c r="A914" s="15">
        <v>3</v>
      </c>
      <c r="B914" s="15" t="s">
        <v>577</v>
      </c>
      <c r="C914" s="20">
        <v>24</v>
      </c>
      <c r="D914" s="20">
        <v>16676</v>
      </c>
      <c r="E914" s="16">
        <v>14249</v>
      </c>
      <c r="F914" s="18">
        <f t="shared" si="322"/>
        <v>0.85446150155912692</v>
      </c>
    </row>
    <row r="915" spans="1:6" ht="15" customHeight="1" x14ac:dyDescent="0.25">
      <c r="A915" s="15">
        <v>4</v>
      </c>
      <c r="B915" s="15" t="s">
        <v>578</v>
      </c>
      <c r="C915" s="20">
        <v>37</v>
      </c>
      <c r="D915" s="20">
        <v>23410</v>
      </c>
      <c r="E915" s="16">
        <v>20769</v>
      </c>
      <c r="F915" s="18">
        <f t="shared" si="322"/>
        <v>0.88718496369073041</v>
      </c>
    </row>
    <row r="916" spans="1:6" ht="15" customHeight="1" x14ac:dyDescent="0.25">
      <c r="A916" s="15">
        <v>5</v>
      </c>
      <c r="B916" s="15" t="s">
        <v>579</v>
      </c>
      <c r="C916" s="20">
        <v>28</v>
      </c>
      <c r="D916" s="20">
        <v>19499</v>
      </c>
      <c r="E916" s="16">
        <v>16693</v>
      </c>
      <c r="F916" s="18">
        <f t="shared" si="322"/>
        <v>0.85609518436842913</v>
      </c>
    </row>
    <row r="917" spans="1:6" ht="15" customHeight="1" x14ac:dyDescent="0.25">
      <c r="A917" s="15">
        <v>6</v>
      </c>
      <c r="B917" s="15" t="s">
        <v>580</v>
      </c>
      <c r="C917" s="20">
        <v>42</v>
      </c>
      <c r="D917" s="20">
        <v>30473</v>
      </c>
      <c r="E917" s="16">
        <v>26237</v>
      </c>
      <c r="F917" s="18">
        <f t="shared" si="322"/>
        <v>0.86099169756833915</v>
      </c>
    </row>
    <row r="918" spans="1:6" ht="15" customHeight="1" x14ac:dyDescent="0.25">
      <c r="A918" s="15">
        <v>7</v>
      </c>
      <c r="B918" s="15" t="s">
        <v>1408</v>
      </c>
      <c r="C918" s="20">
        <v>75</v>
      </c>
      <c r="D918" s="20">
        <v>58919</v>
      </c>
      <c r="E918" s="16">
        <v>48933</v>
      </c>
      <c r="F918" s="18">
        <f t="shared" si="322"/>
        <v>0.83051307727558177</v>
      </c>
    </row>
    <row r="919" spans="1:6" ht="15" customHeight="1" x14ac:dyDescent="0.25">
      <c r="A919" s="15"/>
      <c r="B919" s="24" t="s">
        <v>1409</v>
      </c>
      <c r="C919" s="20">
        <v>145</v>
      </c>
      <c r="D919" s="20">
        <v>121773</v>
      </c>
      <c r="E919" s="16">
        <v>97741</v>
      </c>
      <c r="F919" s="18">
        <f t="shared" si="322"/>
        <v>0.80264919152849978</v>
      </c>
    </row>
    <row r="920" spans="1:6" ht="23.1" customHeight="1" x14ac:dyDescent="0.25">
      <c r="A920" s="22"/>
      <c r="B920" s="22" t="s">
        <v>9</v>
      </c>
      <c r="C920" s="14">
        <f t="shared" ref="C920" si="325">SUM(C921:C930)</f>
        <v>472</v>
      </c>
      <c r="D920" s="14">
        <f t="shared" ref="D920:E920" si="326">SUM(D921:D930)</f>
        <v>314684</v>
      </c>
      <c r="E920" s="14">
        <f t="shared" si="326"/>
        <v>273253</v>
      </c>
      <c r="F920" s="13">
        <f t="shared" si="322"/>
        <v>0.86834093884658892</v>
      </c>
    </row>
    <row r="921" spans="1:6" ht="15" customHeight="1" x14ac:dyDescent="0.25">
      <c r="A921" s="15">
        <v>1</v>
      </c>
      <c r="B921" s="15" t="s">
        <v>581</v>
      </c>
      <c r="C921" s="20">
        <v>61</v>
      </c>
      <c r="D921" s="20">
        <v>35695</v>
      </c>
      <c r="E921" s="16">
        <v>31508</v>
      </c>
      <c r="F921" s="18">
        <f t="shared" si="322"/>
        <v>0.88270065835551192</v>
      </c>
    </row>
    <row r="922" spans="1:6" ht="15" customHeight="1" x14ac:dyDescent="0.25">
      <c r="A922" s="15">
        <v>2</v>
      </c>
      <c r="B922" s="15" t="s">
        <v>582</v>
      </c>
      <c r="C922" s="20">
        <v>34</v>
      </c>
      <c r="D922" s="20">
        <v>20196</v>
      </c>
      <c r="E922" s="16">
        <v>17945</v>
      </c>
      <c r="F922" s="18">
        <f t="shared" si="322"/>
        <v>0.88854228560110915</v>
      </c>
    </row>
    <row r="923" spans="1:6" ht="15" customHeight="1" x14ac:dyDescent="0.25">
      <c r="A923" s="15">
        <v>3</v>
      </c>
      <c r="B923" s="15" t="s">
        <v>583</v>
      </c>
      <c r="C923" s="20">
        <v>62</v>
      </c>
      <c r="D923" s="20">
        <v>42758</v>
      </c>
      <c r="E923" s="16">
        <v>37202</v>
      </c>
      <c r="F923" s="18">
        <f t="shared" si="322"/>
        <v>0.87005940408812388</v>
      </c>
    </row>
    <row r="924" spans="1:6" ht="15" customHeight="1" x14ac:dyDescent="0.25">
      <c r="A924" s="15">
        <v>4</v>
      </c>
      <c r="B924" s="15" t="s">
        <v>584</v>
      </c>
      <c r="C924" s="20">
        <v>60</v>
      </c>
      <c r="D924" s="20">
        <v>41019</v>
      </c>
      <c r="E924" s="16">
        <v>36060</v>
      </c>
      <c r="F924" s="18">
        <f t="shared" si="322"/>
        <v>0.87910480509032396</v>
      </c>
    </row>
    <row r="925" spans="1:6" ht="15" customHeight="1" x14ac:dyDescent="0.25">
      <c r="A925" s="15">
        <v>5</v>
      </c>
      <c r="B925" s="15" t="s">
        <v>1410</v>
      </c>
      <c r="C925" s="20">
        <v>26</v>
      </c>
      <c r="D925" s="20">
        <v>17442</v>
      </c>
      <c r="E925" s="16">
        <v>15615</v>
      </c>
      <c r="F925" s="18">
        <f t="shared" si="322"/>
        <v>0.89525283797729616</v>
      </c>
    </row>
    <row r="926" spans="1:6" ht="15" customHeight="1" x14ac:dyDescent="0.25">
      <c r="A926" s="15">
        <v>6</v>
      </c>
      <c r="B926" s="15" t="s">
        <v>585</v>
      </c>
      <c r="C926" s="20">
        <v>35</v>
      </c>
      <c r="D926" s="20">
        <v>23602</v>
      </c>
      <c r="E926" s="16">
        <v>19515</v>
      </c>
      <c r="F926" s="18">
        <f t="shared" si="322"/>
        <v>0.82683670875349546</v>
      </c>
    </row>
    <row r="927" spans="1:6" ht="15" customHeight="1" x14ac:dyDescent="0.25">
      <c r="A927" s="15">
        <v>7</v>
      </c>
      <c r="B927" s="15" t="s">
        <v>374</v>
      </c>
      <c r="C927" s="20">
        <v>47</v>
      </c>
      <c r="D927" s="20">
        <v>31835</v>
      </c>
      <c r="E927" s="16">
        <v>27879</v>
      </c>
      <c r="F927" s="18">
        <f t="shared" si="322"/>
        <v>0.87573425475106015</v>
      </c>
    </row>
    <row r="928" spans="1:6" ht="15" customHeight="1" x14ac:dyDescent="0.25">
      <c r="A928" s="15">
        <v>8</v>
      </c>
      <c r="B928" s="15" t="s">
        <v>1277</v>
      </c>
      <c r="C928" s="20">
        <v>25</v>
      </c>
      <c r="D928" s="20">
        <v>14979</v>
      </c>
      <c r="E928" s="16">
        <v>13114</v>
      </c>
      <c r="F928" s="18">
        <f t="shared" si="322"/>
        <v>0.87549235596501773</v>
      </c>
    </row>
    <row r="929" spans="1:6" ht="15" customHeight="1" x14ac:dyDescent="0.25">
      <c r="A929" s="15">
        <v>9</v>
      </c>
      <c r="B929" s="15" t="s">
        <v>586</v>
      </c>
      <c r="C929" s="20">
        <v>53</v>
      </c>
      <c r="D929" s="20">
        <v>39666</v>
      </c>
      <c r="E929" s="16">
        <v>33028</v>
      </c>
      <c r="F929" s="18">
        <f t="shared" si="322"/>
        <v>0.83265264962436347</v>
      </c>
    </row>
    <row r="930" spans="1:6" ht="15" customHeight="1" x14ac:dyDescent="0.25">
      <c r="A930" s="15">
        <v>10</v>
      </c>
      <c r="B930" s="15" t="s">
        <v>587</v>
      </c>
      <c r="C930" s="20">
        <v>69</v>
      </c>
      <c r="D930" s="20">
        <v>47492</v>
      </c>
      <c r="E930" s="16">
        <v>41387</v>
      </c>
      <c r="F930" s="18">
        <f t="shared" si="322"/>
        <v>0.87145203402678351</v>
      </c>
    </row>
    <row r="931" spans="1:6" ht="23.1" customHeight="1" x14ac:dyDescent="0.25">
      <c r="A931" s="22"/>
      <c r="B931" s="22" t="s">
        <v>10</v>
      </c>
      <c r="C931" s="14">
        <f t="shared" ref="C931" si="327">SUM(C932:C938)</f>
        <v>447</v>
      </c>
      <c r="D931" s="14">
        <f t="shared" ref="D931:E931" si="328">SUM(D932:D938)</f>
        <v>324838</v>
      </c>
      <c r="E931" s="14">
        <f t="shared" si="328"/>
        <v>271401</v>
      </c>
      <c r="F931" s="13">
        <f t="shared" si="322"/>
        <v>0.83549646285225254</v>
      </c>
    </row>
    <row r="932" spans="1:6" ht="15" customHeight="1" x14ac:dyDescent="0.25">
      <c r="A932" s="15">
        <v>1</v>
      </c>
      <c r="B932" s="15" t="s">
        <v>588</v>
      </c>
      <c r="C932" s="20">
        <v>53</v>
      </c>
      <c r="D932" s="20">
        <v>37390</v>
      </c>
      <c r="E932" s="16">
        <v>31934</v>
      </c>
      <c r="F932" s="18">
        <f t="shared" si="322"/>
        <v>0.85407863064990641</v>
      </c>
    </row>
    <row r="933" spans="1:6" ht="15" customHeight="1" x14ac:dyDescent="0.25">
      <c r="A933" s="15">
        <v>2</v>
      </c>
      <c r="B933" s="15" t="s">
        <v>1284</v>
      </c>
      <c r="C933" s="20">
        <v>30</v>
      </c>
      <c r="D933" s="20">
        <v>20845</v>
      </c>
      <c r="E933" s="16">
        <v>17625</v>
      </c>
      <c r="F933" s="18">
        <f t="shared" si="322"/>
        <v>0.84552650515711203</v>
      </c>
    </row>
    <row r="934" spans="1:6" ht="15" customHeight="1" x14ac:dyDescent="0.25">
      <c r="A934" s="15">
        <v>3</v>
      </c>
      <c r="B934" s="15" t="s">
        <v>1307</v>
      </c>
      <c r="C934" s="20">
        <v>52</v>
      </c>
      <c r="D934" s="20">
        <v>34609</v>
      </c>
      <c r="E934" s="16">
        <v>29556</v>
      </c>
      <c r="F934" s="18">
        <f t="shared" si="322"/>
        <v>0.8539975150972291</v>
      </c>
    </row>
    <row r="935" spans="1:6" ht="15" customHeight="1" x14ac:dyDescent="0.25">
      <c r="A935" s="15">
        <v>4</v>
      </c>
      <c r="B935" s="15" t="s">
        <v>1285</v>
      </c>
      <c r="C935" s="20">
        <v>74</v>
      </c>
      <c r="D935" s="20">
        <v>53101</v>
      </c>
      <c r="E935" s="16">
        <v>42705</v>
      </c>
      <c r="F935" s="18">
        <f t="shared" ref="F935:F939" si="329">SUM(E935/D935)</f>
        <v>0.8042221427091768</v>
      </c>
    </row>
    <row r="936" spans="1:6" ht="15" customHeight="1" x14ac:dyDescent="0.25">
      <c r="A936" s="15">
        <v>5</v>
      </c>
      <c r="B936" s="15" t="s">
        <v>590</v>
      </c>
      <c r="C936" s="20">
        <v>64</v>
      </c>
      <c r="D936" s="20">
        <v>46508</v>
      </c>
      <c r="E936" s="16">
        <v>39213</v>
      </c>
      <c r="F936" s="18">
        <f t="shared" si="329"/>
        <v>0.84314526533069578</v>
      </c>
    </row>
    <row r="937" spans="1:6" ht="15" customHeight="1" x14ac:dyDescent="0.25">
      <c r="A937" s="15">
        <v>6</v>
      </c>
      <c r="B937" s="15" t="s">
        <v>1283</v>
      </c>
      <c r="C937" s="20">
        <v>78</v>
      </c>
      <c r="D937" s="20">
        <v>55549</v>
      </c>
      <c r="E937" s="16">
        <v>46349</v>
      </c>
      <c r="F937" s="18">
        <f t="shared" si="329"/>
        <v>0.83438045689391349</v>
      </c>
    </row>
    <row r="938" spans="1:6" ht="15" customHeight="1" x14ac:dyDescent="0.25">
      <c r="A938" s="15"/>
      <c r="B938" s="24" t="s">
        <v>1411</v>
      </c>
      <c r="C938" s="20">
        <v>96</v>
      </c>
      <c r="D938" s="20">
        <v>76836</v>
      </c>
      <c r="E938" s="16">
        <v>64019</v>
      </c>
      <c r="F938" s="18">
        <f t="shared" si="329"/>
        <v>0.83319017127388206</v>
      </c>
    </row>
    <row r="939" spans="1:6" ht="23.1" customHeight="1" x14ac:dyDescent="0.25">
      <c r="A939" s="22"/>
      <c r="B939" s="22" t="s">
        <v>591</v>
      </c>
      <c r="C939" s="14">
        <f t="shared" ref="C939" si="330">SUM(C941+C945)</f>
        <v>365</v>
      </c>
      <c r="D939" s="14">
        <f t="shared" ref="D939:E939" si="331">SUM(D941+D945)</f>
        <v>200804</v>
      </c>
      <c r="E939" s="14">
        <f t="shared" si="331"/>
        <v>173897</v>
      </c>
      <c r="F939" s="13">
        <f t="shared" si="329"/>
        <v>0.86600366526563211</v>
      </c>
    </row>
    <row r="940" spans="1:6" ht="23.1" customHeight="1" x14ac:dyDescent="0.25">
      <c r="A940" s="22"/>
      <c r="B940" s="22" t="s">
        <v>22</v>
      </c>
      <c r="C940" s="14"/>
      <c r="D940" s="14"/>
      <c r="E940" s="14"/>
      <c r="F940" s="18"/>
    </row>
    <row r="941" spans="1:6" ht="23.1" customHeight="1" x14ac:dyDescent="0.25">
      <c r="A941" s="22"/>
      <c r="B941" s="22" t="s">
        <v>23</v>
      </c>
      <c r="C941" s="14">
        <f t="shared" ref="C941" si="332">SUM(C942:C944)</f>
        <v>165</v>
      </c>
      <c r="D941" s="14">
        <f t="shared" ref="D941:E941" si="333">SUM(D942:D944)</f>
        <v>102783</v>
      </c>
      <c r="E941" s="14">
        <f t="shared" si="333"/>
        <v>89713</v>
      </c>
      <c r="F941" s="13">
        <f t="shared" ref="F941:F972" si="334">SUM(E941/D941)</f>
        <v>0.87283889359135269</v>
      </c>
    </row>
    <row r="942" spans="1:6" ht="15" customHeight="1" x14ac:dyDescent="0.25">
      <c r="A942" s="15">
        <v>1</v>
      </c>
      <c r="B942" s="15" t="s">
        <v>592</v>
      </c>
      <c r="C942" s="20">
        <v>35</v>
      </c>
      <c r="D942" s="20">
        <v>22329</v>
      </c>
      <c r="E942" s="16">
        <v>18840</v>
      </c>
      <c r="F942" s="18">
        <f t="shared" si="334"/>
        <v>0.84374580142415689</v>
      </c>
    </row>
    <row r="943" spans="1:6" ht="15" customHeight="1" x14ac:dyDescent="0.25">
      <c r="A943" s="15">
        <v>2</v>
      </c>
      <c r="B943" s="15" t="s">
        <v>1412</v>
      </c>
      <c r="C943" s="20">
        <v>48</v>
      </c>
      <c r="D943" s="20">
        <v>28792</v>
      </c>
      <c r="E943" s="16">
        <v>25288</v>
      </c>
      <c r="F943" s="18">
        <f t="shared" si="334"/>
        <v>0.87829952764656849</v>
      </c>
    </row>
    <row r="944" spans="1:6" ht="15" customHeight="1" x14ac:dyDescent="0.25">
      <c r="A944" s="15">
        <v>3</v>
      </c>
      <c r="B944" s="15" t="s">
        <v>1413</v>
      </c>
      <c r="C944" s="20">
        <v>82</v>
      </c>
      <c r="D944" s="20">
        <v>51662</v>
      </c>
      <c r="E944" s="16">
        <v>45585</v>
      </c>
      <c r="F944" s="18">
        <f t="shared" si="334"/>
        <v>0.8823700205179823</v>
      </c>
    </row>
    <row r="945" spans="1:6" ht="23.1" customHeight="1" x14ac:dyDescent="0.25">
      <c r="A945" s="22"/>
      <c r="B945" s="22" t="s">
        <v>39</v>
      </c>
      <c r="C945" s="14">
        <f t="shared" ref="C945" si="335">SUM(C946:C953)</f>
        <v>200</v>
      </c>
      <c r="D945" s="14">
        <f t="shared" ref="D945:E945" si="336">SUM(D946:D953)</f>
        <v>98021</v>
      </c>
      <c r="E945" s="14">
        <f t="shared" si="336"/>
        <v>84184</v>
      </c>
      <c r="F945" s="13">
        <f t="shared" si="334"/>
        <v>0.85883637179788008</v>
      </c>
    </row>
    <row r="946" spans="1:6" ht="15" customHeight="1" x14ac:dyDescent="0.25">
      <c r="A946" s="15">
        <v>1</v>
      </c>
      <c r="B946" s="15" t="s">
        <v>593</v>
      </c>
      <c r="C946" s="20">
        <v>18</v>
      </c>
      <c r="D946" s="20">
        <v>8774</v>
      </c>
      <c r="E946" s="16">
        <v>7619</v>
      </c>
      <c r="F946" s="18">
        <f t="shared" si="334"/>
        <v>0.86836106678823799</v>
      </c>
    </row>
    <row r="947" spans="1:6" ht="15" customHeight="1" x14ac:dyDescent="0.25">
      <c r="A947" s="15">
        <v>2</v>
      </c>
      <c r="B947" s="15" t="s">
        <v>485</v>
      </c>
      <c r="C947" s="20">
        <v>29</v>
      </c>
      <c r="D947" s="20">
        <v>10934</v>
      </c>
      <c r="E947" s="16">
        <v>9326</v>
      </c>
      <c r="F947" s="18">
        <f t="shared" si="334"/>
        <v>0.85293579659776841</v>
      </c>
    </row>
    <row r="948" spans="1:6" ht="15" customHeight="1" x14ac:dyDescent="0.25">
      <c r="A948" s="15">
        <v>3</v>
      </c>
      <c r="B948" s="15" t="s">
        <v>589</v>
      </c>
      <c r="C948" s="20">
        <v>32</v>
      </c>
      <c r="D948" s="20">
        <v>16828</v>
      </c>
      <c r="E948" s="16">
        <v>14638</v>
      </c>
      <c r="F948" s="18">
        <f t="shared" si="334"/>
        <v>0.86985975754694556</v>
      </c>
    </row>
    <row r="949" spans="1:6" ht="15" customHeight="1" x14ac:dyDescent="0.25">
      <c r="A949" s="15">
        <v>4</v>
      </c>
      <c r="B949" s="15" t="s">
        <v>594</v>
      </c>
      <c r="C949" s="20">
        <v>11</v>
      </c>
      <c r="D949" s="20">
        <v>7717</v>
      </c>
      <c r="E949" s="16">
        <v>6317</v>
      </c>
      <c r="F949" s="18">
        <f t="shared" si="334"/>
        <v>0.81858235065439933</v>
      </c>
    </row>
    <row r="950" spans="1:6" ht="15" customHeight="1" x14ac:dyDescent="0.25">
      <c r="A950" s="15">
        <v>5</v>
      </c>
      <c r="B950" s="15" t="s">
        <v>595</v>
      </c>
      <c r="C950" s="20">
        <v>29</v>
      </c>
      <c r="D950" s="20">
        <v>16837</v>
      </c>
      <c r="E950" s="16">
        <v>14461</v>
      </c>
      <c r="F950" s="18">
        <f t="shared" si="334"/>
        <v>0.8588822236740512</v>
      </c>
    </row>
    <row r="951" spans="1:6" ht="15" customHeight="1" x14ac:dyDescent="0.25">
      <c r="A951" s="15">
        <v>6</v>
      </c>
      <c r="B951" s="15" t="s">
        <v>1414</v>
      </c>
      <c r="C951" s="20">
        <v>23</v>
      </c>
      <c r="D951" s="20">
        <v>8306</v>
      </c>
      <c r="E951" s="16">
        <v>7024</v>
      </c>
      <c r="F951" s="18">
        <f t="shared" si="334"/>
        <v>0.84565374428124251</v>
      </c>
    </row>
    <row r="952" spans="1:6" ht="15" customHeight="1" x14ac:dyDescent="0.25">
      <c r="A952" s="15">
        <v>7</v>
      </c>
      <c r="B952" s="15" t="s">
        <v>317</v>
      </c>
      <c r="C952" s="20">
        <v>26</v>
      </c>
      <c r="D952" s="20">
        <v>12122</v>
      </c>
      <c r="E952" s="17">
        <v>10737</v>
      </c>
      <c r="F952" s="18">
        <f t="shared" si="334"/>
        <v>0.88574492657977233</v>
      </c>
    </row>
    <row r="953" spans="1:6" ht="15" customHeight="1" x14ac:dyDescent="0.25">
      <c r="A953" s="15">
        <v>8</v>
      </c>
      <c r="B953" s="15" t="s">
        <v>596</v>
      </c>
      <c r="C953" s="20">
        <v>32</v>
      </c>
      <c r="D953" s="20">
        <v>16503</v>
      </c>
      <c r="E953" s="17">
        <v>14062</v>
      </c>
      <c r="F953" s="18">
        <f t="shared" si="334"/>
        <v>0.852087499242562</v>
      </c>
    </row>
    <row r="954" spans="1:6" ht="23.1" customHeight="1" x14ac:dyDescent="0.25">
      <c r="A954" s="22"/>
      <c r="B954" s="22" t="s">
        <v>597</v>
      </c>
      <c r="C954" s="14">
        <f t="shared" ref="C954" si="337">SUM(C955+C962+C970)</f>
        <v>883</v>
      </c>
      <c r="D954" s="14">
        <f t="shared" ref="D954:E954" si="338">SUM(D955+D962+D970)</f>
        <v>619174</v>
      </c>
      <c r="E954" s="14">
        <f t="shared" si="338"/>
        <v>490864</v>
      </c>
      <c r="F954" s="13">
        <f t="shared" si="334"/>
        <v>0.79277230633069218</v>
      </c>
    </row>
    <row r="955" spans="1:6" ht="23.1" customHeight="1" x14ac:dyDescent="0.25">
      <c r="A955" s="22"/>
      <c r="B955" s="22" t="s">
        <v>6</v>
      </c>
      <c r="C955" s="14">
        <f t="shared" ref="C955" si="339">SUM(C956:C961)</f>
        <v>193</v>
      </c>
      <c r="D955" s="14">
        <f t="shared" ref="D955:E955" si="340">SUM(D956:D961)</f>
        <v>128429</v>
      </c>
      <c r="E955" s="14">
        <f t="shared" si="340"/>
        <v>104732</v>
      </c>
      <c r="F955" s="13">
        <f t="shared" si="334"/>
        <v>0.81548559904694418</v>
      </c>
    </row>
    <row r="956" spans="1:6" ht="15" customHeight="1" x14ac:dyDescent="0.25">
      <c r="A956" s="15">
        <v>1</v>
      </c>
      <c r="B956" s="15" t="s">
        <v>598</v>
      </c>
      <c r="C956" s="20">
        <v>17</v>
      </c>
      <c r="D956" s="20">
        <v>10931</v>
      </c>
      <c r="E956" s="16">
        <v>8129</v>
      </c>
      <c r="F956" s="18">
        <f t="shared" si="334"/>
        <v>0.74366480651358524</v>
      </c>
    </row>
    <row r="957" spans="1:6" ht="15" customHeight="1" x14ac:dyDescent="0.25">
      <c r="A957" s="15">
        <v>2</v>
      </c>
      <c r="B957" s="15" t="s">
        <v>223</v>
      </c>
      <c r="C957" s="20">
        <v>38</v>
      </c>
      <c r="D957" s="20">
        <v>26425</v>
      </c>
      <c r="E957" s="16">
        <v>22421</v>
      </c>
      <c r="F957" s="18">
        <f t="shared" si="334"/>
        <v>0.84847682119205303</v>
      </c>
    </row>
    <row r="958" spans="1:6" ht="15" customHeight="1" x14ac:dyDescent="0.25">
      <c r="A958" s="15">
        <v>3</v>
      </c>
      <c r="B958" s="15" t="s">
        <v>599</v>
      </c>
      <c r="C958" s="20">
        <v>28</v>
      </c>
      <c r="D958" s="20">
        <v>19627</v>
      </c>
      <c r="E958" s="16">
        <v>14469</v>
      </c>
      <c r="F958" s="18">
        <f t="shared" si="334"/>
        <v>0.73719875681459213</v>
      </c>
    </row>
    <row r="959" spans="1:6" ht="15" customHeight="1" x14ac:dyDescent="0.25">
      <c r="A959" s="15">
        <v>4</v>
      </c>
      <c r="B959" s="15" t="s">
        <v>537</v>
      </c>
      <c r="C959" s="20">
        <v>31</v>
      </c>
      <c r="D959" s="20">
        <v>16767</v>
      </c>
      <c r="E959" s="16">
        <v>13441</v>
      </c>
      <c r="F959" s="18">
        <f t="shared" si="334"/>
        <v>0.80163416234269691</v>
      </c>
    </row>
    <row r="960" spans="1:6" ht="15" customHeight="1" x14ac:dyDescent="0.25">
      <c r="A960" s="15">
        <v>5</v>
      </c>
      <c r="B960" s="15" t="s">
        <v>187</v>
      </c>
      <c r="C960" s="20">
        <v>34</v>
      </c>
      <c r="D960" s="20">
        <v>22005</v>
      </c>
      <c r="E960" s="16">
        <v>17532</v>
      </c>
      <c r="F960" s="18">
        <f t="shared" si="334"/>
        <v>0.79672801635991819</v>
      </c>
    </row>
    <row r="961" spans="1:6" ht="15" customHeight="1" x14ac:dyDescent="0.25">
      <c r="A961" s="15">
        <v>6</v>
      </c>
      <c r="B961" s="15" t="s">
        <v>401</v>
      </c>
      <c r="C961" s="20">
        <v>45</v>
      </c>
      <c r="D961" s="20">
        <v>32674</v>
      </c>
      <c r="E961" s="16">
        <v>28740</v>
      </c>
      <c r="F961" s="18">
        <f t="shared" si="334"/>
        <v>0.87959845748913512</v>
      </c>
    </row>
    <row r="962" spans="1:6" ht="23.1" customHeight="1" x14ac:dyDescent="0.25">
      <c r="A962" s="22"/>
      <c r="B962" s="22" t="s">
        <v>7</v>
      </c>
      <c r="C962" s="14">
        <f t="shared" ref="C962" si="341">SUM(C963:C969)</f>
        <v>373</v>
      </c>
      <c r="D962" s="14">
        <f t="shared" ref="D962:E962" si="342">SUM(D963:D969)</f>
        <v>274067</v>
      </c>
      <c r="E962" s="14">
        <f t="shared" si="342"/>
        <v>218527</v>
      </c>
      <c r="F962" s="13">
        <f t="shared" si="334"/>
        <v>0.79734882346287583</v>
      </c>
    </row>
    <row r="963" spans="1:6" ht="15" customHeight="1" x14ac:dyDescent="0.25">
      <c r="A963" s="15">
        <v>1</v>
      </c>
      <c r="B963" s="15" t="s">
        <v>600</v>
      </c>
      <c r="C963" s="20">
        <v>73</v>
      </c>
      <c r="D963" s="20">
        <v>55077</v>
      </c>
      <c r="E963" s="16">
        <v>42839</v>
      </c>
      <c r="F963" s="18">
        <f t="shared" si="334"/>
        <v>0.77780198631007502</v>
      </c>
    </row>
    <row r="964" spans="1:6" ht="15" customHeight="1" x14ac:dyDescent="0.25">
      <c r="A964" s="15">
        <v>2</v>
      </c>
      <c r="B964" s="15" t="s">
        <v>601</v>
      </c>
      <c r="C964" s="20">
        <v>28</v>
      </c>
      <c r="D964" s="20">
        <v>19315</v>
      </c>
      <c r="E964" s="16">
        <v>16101</v>
      </c>
      <c r="F964" s="18">
        <f t="shared" si="334"/>
        <v>0.83360082837173177</v>
      </c>
    </row>
    <row r="965" spans="1:6" ht="15" customHeight="1" x14ac:dyDescent="0.25">
      <c r="A965" s="15">
        <v>3</v>
      </c>
      <c r="B965" s="15" t="s">
        <v>602</v>
      </c>
      <c r="C965" s="20">
        <v>45</v>
      </c>
      <c r="D965" s="20">
        <v>28285</v>
      </c>
      <c r="E965" s="16">
        <v>21110</v>
      </c>
      <c r="F965" s="18">
        <f t="shared" si="334"/>
        <v>0.74633197808025453</v>
      </c>
    </row>
    <row r="966" spans="1:6" ht="15" customHeight="1" x14ac:dyDescent="0.25">
      <c r="A966" s="15">
        <v>4</v>
      </c>
      <c r="B966" s="15" t="s">
        <v>603</v>
      </c>
      <c r="C966" s="20">
        <v>40</v>
      </c>
      <c r="D966" s="20">
        <v>28127</v>
      </c>
      <c r="E966" s="16">
        <v>22339</v>
      </c>
      <c r="F966" s="18">
        <f t="shared" si="334"/>
        <v>0.79421907775447076</v>
      </c>
    </row>
    <row r="967" spans="1:6" ht="15" customHeight="1" x14ac:dyDescent="0.25">
      <c r="A967" s="15">
        <v>5</v>
      </c>
      <c r="B967" s="15" t="s">
        <v>604</v>
      </c>
      <c r="C967" s="20">
        <v>47</v>
      </c>
      <c r="D967" s="20">
        <v>33250</v>
      </c>
      <c r="E967" s="16">
        <v>27470</v>
      </c>
      <c r="F967" s="18">
        <f t="shared" si="334"/>
        <v>0.82616541353383455</v>
      </c>
    </row>
    <row r="968" spans="1:6" ht="15" customHeight="1" x14ac:dyDescent="0.25">
      <c r="A968" s="15">
        <v>6</v>
      </c>
      <c r="B968" s="15" t="s">
        <v>605</v>
      </c>
      <c r="C968" s="20">
        <v>39</v>
      </c>
      <c r="D968" s="20">
        <v>25115</v>
      </c>
      <c r="E968" s="16">
        <v>19596</v>
      </c>
      <c r="F968" s="18">
        <f t="shared" si="334"/>
        <v>0.78025084610790363</v>
      </c>
    </row>
    <row r="969" spans="1:6" ht="15" customHeight="1" x14ac:dyDescent="0.25">
      <c r="A969" s="15"/>
      <c r="B969" s="24" t="s">
        <v>1415</v>
      </c>
      <c r="C969" s="20">
        <v>101</v>
      </c>
      <c r="D969" s="20">
        <v>84898</v>
      </c>
      <c r="E969" s="16">
        <v>69072</v>
      </c>
      <c r="F969" s="18">
        <f t="shared" si="334"/>
        <v>0.81358807039035075</v>
      </c>
    </row>
    <row r="970" spans="1:6" ht="23.1" customHeight="1" x14ac:dyDescent="0.25">
      <c r="A970" s="22"/>
      <c r="B970" s="22" t="s">
        <v>8</v>
      </c>
      <c r="C970" s="14">
        <f t="shared" ref="C970" si="343">SUM(C971:C978)</f>
        <v>317</v>
      </c>
      <c r="D970" s="14">
        <f t="shared" ref="D970:E970" si="344">SUM(D971:D978)</f>
        <v>216678</v>
      </c>
      <c r="E970" s="14">
        <f t="shared" si="344"/>
        <v>167605</v>
      </c>
      <c r="F970" s="13">
        <f t="shared" si="334"/>
        <v>0.77352107735903042</v>
      </c>
    </row>
    <row r="971" spans="1:6" ht="15" customHeight="1" x14ac:dyDescent="0.25">
      <c r="A971" s="15">
        <v>1</v>
      </c>
      <c r="B971" s="15" t="s">
        <v>606</v>
      </c>
      <c r="C971" s="20">
        <v>47</v>
      </c>
      <c r="D971" s="20">
        <v>30715</v>
      </c>
      <c r="E971" s="16">
        <v>23753</v>
      </c>
      <c r="F971" s="18">
        <f t="shared" si="334"/>
        <v>0.77333550382549243</v>
      </c>
    </row>
    <row r="972" spans="1:6" ht="15" customHeight="1" x14ac:dyDescent="0.25">
      <c r="A972" s="15">
        <v>2</v>
      </c>
      <c r="B972" s="15" t="s">
        <v>607</v>
      </c>
      <c r="C972" s="20">
        <v>62</v>
      </c>
      <c r="D972" s="20">
        <v>44817</v>
      </c>
      <c r="E972" s="16">
        <v>35977</v>
      </c>
      <c r="F972" s="18">
        <f t="shared" si="334"/>
        <v>0.80275341946136514</v>
      </c>
    </row>
    <row r="973" spans="1:6" ht="15" customHeight="1" x14ac:dyDescent="0.25">
      <c r="A973" s="15">
        <v>3</v>
      </c>
      <c r="B973" s="15" t="s">
        <v>608</v>
      </c>
      <c r="C973" s="20">
        <v>26</v>
      </c>
      <c r="D973" s="20">
        <v>17532</v>
      </c>
      <c r="E973" s="16">
        <v>14343</v>
      </c>
      <c r="F973" s="18">
        <f t="shared" ref="F973:F1004" si="345">SUM(E973/D973)</f>
        <v>0.81810403832991097</v>
      </c>
    </row>
    <row r="974" spans="1:6" ht="15" customHeight="1" x14ac:dyDescent="0.25">
      <c r="A974" s="15">
        <v>4</v>
      </c>
      <c r="B974" s="15" t="s">
        <v>609</v>
      </c>
      <c r="C974" s="20">
        <v>20</v>
      </c>
      <c r="D974" s="20">
        <v>13084</v>
      </c>
      <c r="E974" s="16">
        <v>9697</v>
      </c>
      <c r="F974" s="18">
        <f t="shared" si="345"/>
        <v>0.74113420972179767</v>
      </c>
    </row>
    <row r="975" spans="1:6" ht="15" customHeight="1" x14ac:dyDescent="0.25">
      <c r="A975" s="15">
        <v>5</v>
      </c>
      <c r="B975" s="15" t="s">
        <v>610</v>
      </c>
      <c r="C975" s="20">
        <v>30</v>
      </c>
      <c r="D975" s="20">
        <v>19383</v>
      </c>
      <c r="E975" s="16">
        <v>15221</v>
      </c>
      <c r="F975" s="18">
        <f t="shared" si="345"/>
        <v>0.78527575710674302</v>
      </c>
    </row>
    <row r="976" spans="1:6" ht="15" customHeight="1" x14ac:dyDescent="0.25">
      <c r="A976" s="15">
        <v>6</v>
      </c>
      <c r="B976" s="15" t="s">
        <v>1611</v>
      </c>
      <c r="C976" s="20">
        <v>24</v>
      </c>
      <c r="D976" s="20">
        <v>16657</v>
      </c>
      <c r="E976" s="16">
        <v>12931</v>
      </c>
      <c r="F976" s="18">
        <f t="shared" si="345"/>
        <v>0.77631025995077141</v>
      </c>
    </row>
    <row r="977" spans="1:6" ht="15" customHeight="1" x14ac:dyDescent="0.25">
      <c r="A977" s="15">
        <v>7</v>
      </c>
      <c r="B977" s="15" t="s">
        <v>611</v>
      </c>
      <c r="C977" s="20">
        <v>58</v>
      </c>
      <c r="D977" s="20">
        <v>39115</v>
      </c>
      <c r="E977" s="16">
        <v>29306</v>
      </c>
      <c r="F977" s="18">
        <f t="shared" si="345"/>
        <v>0.74922663939665091</v>
      </c>
    </row>
    <row r="978" spans="1:6" ht="15" customHeight="1" x14ac:dyDescent="0.25">
      <c r="A978" s="15">
        <v>8</v>
      </c>
      <c r="B978" s="15" t="s">
        <v>612</v>
      </c>
      <c r="C978" s="20">
        <v>50</v>
      </c>
      <c r="D978" s="20">
        <v>35375</v>
      </c>
      <c r="E978" s="16">
        <v>26377</v>
      </c>
      <c r="F978" s="18">
        <f t="shared" si="345"/>
        <v>0.74563957597173147</v>
      </c>
    </row>
    <row r="979" spans="1:6" ht="23.1" customHeight="1" x14ac:dyDescent="0.25">
      <c r="A979" s="22"/>
      <c r="B979" s="22" t="s">
        <v>613</v>
      </c>
      <c r="C979" s="14">
        <f t="shared" ref="C979" si="346">SUM(C980+C987)</f>
        <v>840</v>
      </c>
      <c r="D979" s="14">
        <f t="shared" ref="D979:E979" si="347">SUM(D980+D987)</f>
        <v>553240</v>
      </c>
      <c r="E979" s="14">
        <f t="shared" si="347"/>
        <v>475331</v>
      </c>
      <c r="F979" s="13">
        <f t="shared" si="345"/>
        <v>0.85917684910707826</v>
      </c>
    </row>
    <row r="980" spans="1:6" ht="23.1" customHeight="1" x14ac:dyDescent="0.25">
      <c r="A980" s="22"/>
      <c r="B980" s="22" t="s">
        <v>6</v>
      </c>
      <c r="C980" s="14">
        <f t="shared" ref="C980" si="348">SUM(C981:C986)</f>
        <v>422</v>
      </c>
      <c r="D980" s="14">
        <f t="shared" ref="D980:E980" si="349">SUM(D981:D986)</f>
        <v>282352</v>
      </c>
      <c r="E980" s="14">
        <f t="shared" si="349"/>
        <v>239320</v>
      </c>
      <c r="F980" s="13">
        <f t="shared" si="345"/>
        <v>0.84759449198163994</v>
      </c>
    </row>
    <row r="981" spans="1:6" ht="15" customHeight="1" x14ac:dyDescent="0.25">
      <c r="A981" s="15">
        <v>1</v>
      </c>
      <c r="B981" s="15" t="s">
        <v>1308</v>
      </c>
      <c r="C981" s="20">
        <v>37</v>
      </c>
      <c r="D981" s="20">
        <v>23665</v>
      </c>
      <c r="E981" s="16">
        <v>20324</v>
      </c>
      <c r="F981" s="18">
        <f t="shared" si="345"/>
        <v>0.8588210437354743</v>
      </c>
    </row>
    <row r="982" spans="1:6" ht="15" customHeight="1" x14ac:dyDescent="0.25">
      <c r="A982" s="15">
        <v>2</v>
      </c>
      <c r="B982" s="15" t="s">
        <v>614</v>
      </c>
      <c r="C982" s="20">
        <v>55</v>
      </c>
      <c r="D982" s="20">
        <v>39325</v>
      </c>
      <c r="E982" s="16">
        <v>34162</v>
      </c>
      <c r="F982" s="18">
        <f t="shared" si="345"/>
        <v>0.86870947234583595</v>
      </c>
    </row>
    <row r="983" spans="1:6" ht="15" customHeight="1" x14ac:dyDescent="0.25">
      <c r="A983" s="15">
        <v>3</v>
      </c>
      <c r="B983" s="15" t="s">
        <v>615</v>
      </c>
      <c r="C983" s="19">
        <v>63</v>
      </c>
      <c r="D983" s="19">
        <v>32811</v>
      </c>
      <c r="E983" s="16">
        <v>28248</v>
      </c>
      <c r="F983" s="18">
        <f t="shared" si="345"/>
        <v>0.86093078540733292</v>
      </c>
    </row>
    <row r="984" spans="1:6" ht="15" customHeight="1" x14ac:dyDescent="0.25">
      <c r="A984" s="15">
        <v>4</v>
      </c>
      <c r="B984" s="15" t="s">
        <v>424</v>
      </c>
      <c r="C984" s="20">
        <v>41</v>
      </c>
      <c r="D984" s="20">
        <v>24920</v>
      </c>
      <c r="E984" s="16">
        <v>20749</v>
      </c>
      <c r="F984" s="18">
        <f t="shared" si="345"/>
        <v>0.83262439807383626</v>
      </c>
    </row>
    <row r="985" spans="1:6" ht="15" customHeight="1" x14ac:dyDescent="0.25">
      <c r="A985" s="15">
        <v>5</v>
      </c>
      <c r="B985" s="15" t="s">
        <v>33</v>
      </c>
      <c r="C985" s="20">
        <v>73</v>
      </c>
      <c r="D985" s="20">
        <v>47491</v>
      </c>
      <c r="E985" s="16">
        <v>39786</v>
      </c>
      <c r="F985" s="18">
        <f t="shared" si="345"/>
        <v>0.83775873323366534</v>
      </c>
    </row>
    <row r="986" spans="1:6" ht="15" customHeight="1" x14ac:dyDescent="0.25">
      <c r="A986" s="15"/>
      <c r="B986" s="24" t="s">
        <v>1416</v>
      </c>
      <c r="C986" s="20">
        <v>153</v>
      </c>
      <c r="D986" s="20">
        <v>114140</v>
      </c>
      <c r="E986" s="16">
        <v>96051</v>
      </c>
      <c r="F986" s="18">
        <f t="shared" si="345"/>
        <v>0.84151918696337835</v>
      </c>
    </row>
    <row r="987" spans="1:6" ht="23.1" customHeight="1" x14ac:dyDescent="0.25">
      <c r="A987" s="22"/>
      <c r="B987" s="22" t="s">
        <v>7</v>
      </c>
      <c r="C987" s="14">
        <f t="shared" ref="C987" si="350">SUM(C988:C996)</f>
        <v>418</v>
      </c>
      <c r="D987" s="14">
        <f t="shared" ref="D987:E987" si="351">SUM(D988:D996)</f>
        <v>270888</v>
      </c>
      <c r="E987" s="14">
        <f t="shared" si="351"/>
        <v>236011</v>
      </c>
      <c r="F987" s="13">
        <f t="shared" si="345"/>
        <v>0.87124937243436407</v>
      </c>
    </row>
    <row r="988" spans="1:6" ht="15" customHeight="1" x14ac:dyDescent="0.25">
      <c r="A988" s="15">
        <v>1</v>
      </c>
      <c r="B988" s="15" t="s">
        <v>616</v>
      </c>
      <c r="C988" s="20">
        <v>30</v>
      </c>
      <c r="D988" s="20">
        <v>16676</v>
      </c>
      <c r="E988" s="16">
        <v>14558</v>
      </c>
      <c r="F988" s="18">
        <f t="shared" si="345"/>
        <v>0.87299112497001674</v>
      </c>
    </row>
    <row r="989" spans="1:6" ht="15" customHeight="1" x14ac:dyDescent="0.25">
      <c r="A989" s="15">
        <v>2</v>
      </c>
      <c r="B989" s="15" t="s">
        <v>617</v>
      </c>
      <c r="C989" s="20">
        <v>105</v>
      </c>
      <c r="D989" s="20">
        <v>68905</v>
      </c>
      <c r="E989" s="16">
        <v>59572</v>
      </c>
      <c r="F989" s="18">
        <f t="shared" si="345"/>
        <v>0.86455264494594009</v>
      </c>
    </row>
    <row r="990" spans="1:6" ht="15" customHeight="1" x14ac:dyDescent="0.25">
      <c r="A990" s="15">
        <v>3</v>
      </c>
      <c r="B990" s="15" t="s">
        <v>618</v>
      </c>
      <c r="C990" s="20">
        <v>29</v>
      </c>
      <c r="D990" s="20">
        <v>17695</v>
      </c>
      <c r="E990" s="16">
        <v>15386</v>
      </c>
      <c r="F990" s="18">
        <f t="shared" si="345"/>
        <v>0.86951116134501272</v>
      </c>
    </row>
    <row r="991" spans="1:6" ht="15" customHeight="1" x14ac:dyDescent="0.25">
      <c r="A991" s="15">
        <v>4</v>
      </c>
      <c r="B991" s="15" t="s">
        <v>619</v>
      </c>
      <c r="C991" s="20">
        <v>64</v>
      </c>
      <c r="D991" s="20">
        <v>41722</v>
      </c>
      <c r="E991" s="16">
        <v>35877</v>
      </c>
      <c r="F991" s="18">
        <f t="shared" si="345"/>
        <v>0.85990604477254207</v>
      </c>
    </row>
    <row r="992" spans="1:6" ht="15" customHeight="1" x14ac:dyDescent="0.25">
      <c r="A992" s="15">
        <v>5</v>
      </c>
      <c r="B992" s="15" t="s">
        <v>620</v>
      </c>
      <c r="C992" s="20">
        <v>56</v>
      </c>
      <c r="D992" s="20">
        <v>41494</v>
      </c>
      <c r="E992" s="16">
        <v>37463</v>
      </c>
      <c r="F992" s="18">
        <f t="shared" si="345"/>
        <v>0.90285342459150719</v>
      </c>
    </row>
    <row r="993" spans="1:6" ht="15" customHeight="1" x14ac:dyDescent="0.25">
      <c r="A993" s="15">
        <v>6</v>
      </c>
      <c r="B993" s="15" t="s">
        <v>621</v>
      </c>
      <c r="C993" s="20">
        <v>38</v>
      </c>
      <c r="D993" s="20">
        <v>24717</v>
      </c>
      <c r="E993" s="16">
        <v>21832</v>
      </c>
      <c r="F993" s="18">
        <f t="shared" si="345"/>
        <v>0.88327871505441602</v>
      </c>
    </row>
    <row r="994" spans="1:6" ht="15" customHeight="1" x14ac:dyDescent="0.25">
      <c r="A994" s="15">
        <v>7</v>
      </c>
      <c r="B994" s="15" t="s">
        <v>622</v>
      </c>
      <c r="C994" s="20">
        <v>51</v>
      </c>
      <c r="D994" s="20">
        <v>30571</v>
      </c>
      <c r="E994" s="16">
        <v>26551</v>
      </c>
      <c r="F994" s="18">
        <f t="shared" si="345"/>
        <v>0.86850282947891788</v>
      </c>
    </row>
    <row r="995" spans="1:6" ht="15" customHeight="1" x14ac:dyDescent="0.25">
      <c r="A995" s="15">
        <v>8</v>
      </c>
      <c r="B995" s="15" t="s">
        <v>623</v>
      </c>
      <c r="C995" s="20">
        <v>26</v>
      </c>
      <c r="D995" s="20">
        <v>16379</v>
      </c>
      <c r="E995" s="16">
        <v>13638</v>
      </c>
      <c r="F995" s="18">
        <f t="shared" si="345"/>
        <v>0.83265156602967216</v>
      </c>
    </row>
    <row r="996" spans="1:6" ht="15" customHeight="1" x14ac:dyDescent="0.25">
      <c r="A996" s="15">
        <v>9</v>
      </c>
      <c r="B996" s="15" t="s">
        <v>624</v>
      </c>
      <c r="C996" s="20">
        <v>19</v>
      </c>
      <c r="D996" s="20">
        <v>12729</v>
      </c>
      <c r="E996" s="16">
        <v>11134</v>
      </c>
      <c r="F996" s="18">
        <f t="shared" si="345"/>
        <v>0.87469557702883183</v>
      </c>
    </row>
    <row r="997" spans="1:6" ht="23.1" customHeight="1" x14ac:dyDescent="0.25">
      <c r="A997" s="140" t="s">
        <v>625</v>
      </c>
      <c r="B997" s="140"/>
      <c r="C997" s="14">
        <f>SUM(C998+C1018+C1040+C1060+C1069)</f>
        <v>4971</v>
      </c>
      <c r="D997" s="14">
        <f t="shared" ref="D997:E997" si="352">SUM(D998+D1018+D1040+D1060+D1069)</f>
        <v>3128562</v>
      </c>
      <c r="E997" s="14">
        <f t="shared" si="352"/>
        <v>2686216</v>
      </c>
      <c r="F997" s="13">
        <f t="shared" si="345"/>
        <v>0.85861044147438981</v>
      </c>
    </row>
    <row r="998" spans="1:6" ht="23.1" customHeight="1" x14ac:dyDescent="0.25">
      <c r="A998" s="22"/>
      <c r="B998" s="22" t="s">
        <v>626</v>
      </c>
      <c r="C998" s="14">
        <f t="shared" ref="C998" si="353">SUM(C999+C1008)</f>
        <v>603</v>
      </c>
      <c r="D998" s="14">
        <f t="shared" ref="D998:E998" si="354">SUM(D999+D1008)</f>
        <v>414890</v>
      </c>
      <c r="E998" s="14">
        <f t="shared" si="354"/>
        <v>361163</v>
      </c>
      <c r="F998" s="13">
        <f t="shared" si="345"/>
        <v>0.87050302489816578</v>
      </c>
    </row>
    <row r="999" spans="1:6" ht="23.1" customHeight="1" x14ac:dyDescent="0.25">
      <c r="A999" s="22"/>
      <c r="B999" s="22" t="s">
        <v>6</v>
      </c>
      <c r="C999" s="14">
        <f t="shared" ref="C999" si="355">SUM(C1000:C1007)</f>
        <v>305</v>
      </c>
      <c r="D999" s="14">
        <f t="shared" ref="D999:E999" si="356">SUM(D1000:D1007)</f>
        <v>209532</v>
      </c>
      <c r="E999" s="14">
        <f t="shared" si="356"/>
        <v>179381</v>
      </c>
      <c r="F999" s="18">
        <f t="shared" si="345"/>
        <v>0.8561031250596568</v>
      </c>
    </row>
    <row r="1000" spans="1:6" ht="15" customHeight="1" x14ac:dyDescent="0.25">
      <c r="A1000" s="15">
        <v>1</v>
      </c>
      <c r="B1000" s="15" t="s">
        <v>627</v>
      </c>
      <c r="C1000" s="20">
        <v>27</v>
      </c>
      <c r="D1000" s="20">
        <v>17774</v>
      </c>
      <c r="E1000" s="16">
        <v>15158</v>
      </c>
      <c r="F1000" s="18">
        <f t="shared" si="345"/>
        <v>0.85281872397884551</v>
      </c>
    </row>
    <row r="1001" spans="1:6" ht="15" customHeight="1" x14ac:dyDescent="0.25">
      <c r="A1001" s="15">
        <v>2</v>
      </c>
      <c r="B1001" s="15" t="s">
        <v>405</v>
      </c>
      <c r="C1001" s="20">
        <v>24</v>
      </c>
      <c r="D1001" s="20">
        <v>17585</v>
      </c>
      <c r="E1001" s="16">
        <v>15295</v>
      </c>
      <c r="F1001" s="18">
        <f t="shared" si="345"/>
        <v>0.86977537674154104</v>
      </c>
    </row>
    <row r="1002" spans="1:6" ht="15" customHeight="1" x14ac:dyDescent="0.25">
      <c r="A1002" s="15">
        <v>3</v>
      </c>
      <c r="B1002" s="15" t="s">
        <v>628</v>
      </c>
      <c r="C1002" s="20">
        <v>48</v>
      </c>
      <c r="D1002" s="20">
        <v>29601</v>
      </c>
      <c r="E1002" s="16">
        <v>25269</v>
      </c>
      <c r="F1002" s="18">
        <f t="shared" si="345"/>
        <v>0.85365359278402753</v>
      </c>
    </row>
    <row r="1003" spans="1:6" ht="15" customHeight="1" x14ac:dyDescent="0.25">
      <c r="A1003" s="15">
        <v>4</v>
      </c>
      <c r="B1003" s="15" t="s">
        <v>629</v>
      </c>
      <c r="C1003" s="20">
        <v>35</v>
      </c>
      <c r="D1003" s="20">
        <v>24516</v>
      </c>
      <c r="E1003" s="16">
        <v>20940</v>
      </c>
      <c r="F1003" s="18">
        <f t="shared" si="345"/>
        <v>0.85413607440039163</v>
      </c>
    </row>
    <row r="1004" spans="1:6" ht="15" customHeight="1" x14ac:dyDescent="0.25">
      <c r="A1004" s="15">
        <v>5</v>
      </c>
      <c r="B1004" s="15" t="s">
        <v>1540</v>
      </c>
      <c r="C1004" s="20">
        <v>66</v>
      </c>
      <c r="D1004" s="20">
        <v>53191</v>
      </c>
      <c r="E1004" s="16">
        <v>44477</v>
      </c>
      <c r="F1004" s="18">
        <f t="shared" si="345"/>
        <v>0.83617529281269387</v>
      </c>
    </row>
    <row r="1005" spans="1:6" ht="15" customHeight="1" x14ac:dyDescent="0.25">
      <c r="A1005" s="15">
        <v>6</v>
      </c>
      <c r="B1005" s="15" t="s">
        <v>630</v>
      </c>
      <c r="C1005" s="20">
        <v>33</v>
      </c>
      <c r="D1005" s="20">
        <v>19518</v>
      </c>
      <c r="E1005" s="16">
        <v>16850</v>
      </c>
      <c r="F1005" s="18">
        <f t="shared" ref="F1005:F1018" si="357">SUM(E1005/D1005)</f>
        <v>0.86330566656419716</v>
      </c>
    </row>
    <row r="1006" spans="1:6" ht="15" customHeight="1" x14ac:dyDescent="0.25">
      <c r="A1006" s="15">
        <v>7</v>
      </c>
      <c r="B1006" s="15" t="s">
        <v>631</v>
      </c>
      <c r="C1006" s="20">
        <v>27</v>
      </c>
      <c r="D1006" s="20">
        <v>13456</v>
      </c>
      <c r="E1006" s="16">
        <v>11711</v>
      </c>
      <c r="F1006" s="18">
        <f t="shared" si="357"/>
        <v>0.87031807372175984</v>
      </c>
    </row>
    <row r="1007" spans="1:6" ht="15" customHeight="1" x14ac:dyDescent="0.25">
      <c r="A1007" s="15">
        <v>8</v>
      </c>
      <c r="B1007" s="15" t="s">
        <v>632</v>
      </c>
      <c r="C1007" s="20">
        <v>45</v>
      </c>
      <c r="D1007" s="20">
        <v>33891</v>
      </c>
      <c r="E1007" s="16">
        <v>29681</v>
      </c>
      <c r="F1007" s="18">
        <f t="shared" si="357"/>
        <v>0.87577823020861001</v>
      </c>
    </row>
    <row r="1008" spans="1:6" ht="23.1" customHeight="1" x14ac:dyDescent="0.25">
      <c r="A1008" s="22"/>
      <c r="B1008" s="22" t="s">
        <v>7</v>
      </c>
      <c r="C1008" s="14">
        <f t="shared" ref="C1008" si="358">SUM(C1009:C1017)</f>
        <v>298</v>
      </c>
      <c r="D1008" s="14">
        <f t="shared" ref="D1008:E1008" si="359">SUM(D1009:D1017)</f>
        <v>205358</v>
      </c>
      <c r="E1008" s="14">
        <f t="shared" si="359"/>
        <v>181782</v>
      </c>
      <c r="F1008" s="13">
        <f t="shared" si="357"/>
        <v>0.88519560961832511</v>
      </c>
    </row>
    <row r="1009" spans="1:6" ht="15" customHeight="1" x14ac:dyDescent="0.25">
      <c r="A1009" s="15">
        <v>1</v>
      </c>
      <c r="B1009" s="15" t="s">
        <v>633</v>
      </c>
      <c r="C1009" s="20">
        <v>20</v>
      </c>
      <c r="D1009" s="20">
        <v>12915</v>
      </c>
      <c r="E1009" s="16">
        <v>11795</v>
      </c>
      <c r="F1009" s="18">
        <f t="shared" si="357"/>
        <v>0.91327913279132789</v>
      </c>
    </row>
    <row r="1010" spans="1:6" ht="15" customHeight="1" x14ac:dyDescent="0.25">
      <c r="A1010" s="15">
        <v>2</v>
      </c>
      <c r="B1010" s="15" t="s">
        <v>634</v>
      </c>
      <c r="C1010" s="20">
        <v>53</v>
      </c>
      <c r="D1010" s="20">
        <v>34003</v>
      </c>
      <c r="E1010" s="16">
        <v>30535</v>
      </c>
      <c r="F1010" s="18">
        <f t="shared" si="357"/>
        <v>0.89800899920595245</v>
      </c>
    </row>
    <row r="1011" spans="1:6" ht="15" customHeight="1" x14ac:dyDescent="0.25">
      <c r="A1011" s="15">
        <v>3</v>
      </c>
      <c r="B1011" s="15" t="s">
        <v>635</v>
      </c>
      <c r="C1011" s="20">
        <v>16</v>
      </c>
      <c r="D1011" s="20">
        <v>10187</v>
      </c>
      <c r="E1011" s="16">
        <v>9292</v>
      </c>
      <c r="F1011" s="18">
        <f t="shared" si="357"/>
        <v>0.9121429272602336</v>
      </c>
    </row>
    <row r="1012" spans="1:6" ht="15" customHeight="1" x14ac:dyDescent="0.25">
      <c r="A1012" s="15">
        <v>4</v>
      </c>
      <c r="B1012" s="15" t="s">
        <v>636</v>
      </c>
      <c r="C1012" s="20">
        <v>31</v>
      </c>
      <c r="D1012" s="20">
        <v>23128</v>
      </c>
      <c r="E1012" s="16">
        <v>20729</v>
      </c>
      <c r="F1012" s="18">
        <f t="shared" si="357"/>
        <v>0.89627291594603942</v>
      </c>
    </row>
    <row r="1013" spans="1:6" ht="15" customHeight="1" x14ac:dyDescent="0.25">
      <c r="A1013" s="15">
        <v>5</v>
      </c>
      <c r="B1013" s="15" t="s">
        <v>637</v>
      </c>
      <c r="C1013" s="20">
        <v>52</v>
      </c>
      <c r="D1013" s="20">
        <v>40565</v>
      </c>
      <c r="E1013" s="16">
        <v>34290</v>
      </c>
      <c r="F1013" s="18">
        <f t="shared" si="357"/>
        <v>0.84530999630223103</v>
      </c>
    </row>
    <row r="1014" spans="1:6" ht="15" customHeight="1" x14ac:dyDescent="0.25">
      <c r="A1014" s="15">
        <v>6</v>
      </c>
      <c r="B1014" s="15" t="s">
        <v>545</v>
      </c>
      <c r="C1014" s="20">
        <v>29</v>
      </c>
      <c r="D1014" s="20">
        <v>16278</v>
      </c>
      <c r="E1014" s="16">
        <v>14175</v>
      </c>
      <c r="F1014" s="18">
        <f t="shared" si="357"/>
        <v>0.87080722447475123</v>
      </c>
    </row>
    <row r="1015" spans="1:6" ht="15" customHeight="1" x14ac:dyDescent="0.25">
      <c r="A1015" s="15">
        <v>7</v>
      </c>
      <c r="B1015" s="15" t="s">
        <v>638</v>
      </c>
      <c r="C1015" s="20">
        <v>36</v>
      </c>
      <c r="D1015" s="20">
        <v>26066</v>
      </c>
      <c r="E1015" s="16">
        <v>23320</v>
      </c>
      <c r="F1015" s="18">
        <f t="shared" si="357"/>
        <v>0.89465203713649966</v>
      </c>
    </row>
    <row r="1016" spans="1:6" ht="15" customHeight="1" x14ac:dyDescent="0.25">
      <c r="A1016" s="15">
        <v>8</v>
      </c>
      <c r="B1016" s="15" t="s">
        <v>639</v>
      </c>
      <c r="C1016" s="20">
        <v>36</v>
      </c>
      <c r="D1016" s="20">
        <v>26088</v>
      </c>
      <c r="E1016" s="16">
        <v>22917</v>
      </c>
      <c r="F1016" s="18">
        <f t="shared" si="357"/>
        <v>0.87844986200551978</v>
      </c>
    </row>
    <row r="1017" spans="1:6" ht="15" customHeight="1" x14ac:dyDescent="0.25">
      <c r="A1017" s="15">
        <v>9</v>
      </c>
      <c r="B1017" s="15" t="s">
        <v>640</v>
      </c>
      <c r="C1017" s="20">
        <v>25</v>
      </c>
      <c r="D1017" s="20">
        <v>16128</v>
      </c>
      <c r="E1017" s="16">
        <v>14729</v>
      </c>
      <c r="F1017" s="18">
        <f t="shared" si="357"/>
        <v>0.91325644841269837</v>
      </c>
    </row>
    <row r="1018" spans="1:6" ht="23.1" customHeight="1" x14ac:dyDescent="0.25">
      <c r="A1018" s="22"/>
      <c r="B1018" s="22" t="s">
        <v>641</v>
      </c>
      <c r="C1018" s="14">
        <f t="shared" ref="C1018" si="360">SUM(C1020+C1029)</f>
        <v>730</v>
      </c>
      <c r="D1018" s="14">
        <f t="shared" ref="D1018:E1018" si="361">SUM(D1020+D1029)</f>
        <v>399553</v>
      </c>
      <c r="E1018" s="14">
        <f t="shared" si="361"/>
        <v>350462</v>
      </c>
      <c r="F1018" s="13">
        <f t="shared" si="357"/>
        <v>0.87713519858441813</v>
      </c>
    </row>
    <row r="1019" spans="1:6" ht="23.1" customHeight="1" x14ac:dyDescent="0.25">
      <c r="A1019" s="22"/>
      <c r="B1019" s="22" t="s">
        <v>22</v>
      </c>
      <c r="C1019" s="14"/>
      <c r="D1019" s="14"/>
      <c r="E1019" s="14"/>
      <c r="F1019" s="18"/>
    </row>
    <row r="1020" spans="1:6" ht="23.1" customHeight="1" x14ac:dyDescent="0.25">
      <c r="A1020" s="22"/>
      <c r="B1020" s="22" t="s">
        <v>23</v>
      </c>
      <c r="C1020" s="14">
        <f t="shared" ref="C1020" si="362">SUM(C1021:C1028)</f>
        <v>360</v>
      </c>
      <c r="D1020" s="14">
        <f t="shared" ref="D1020:E1020" si="363">SUM(D1021:D1028)</f>
        <v>194258</v>
      </c>
      <c r="E1020" s="14">
        <f t="shared" si="363"/>
        <v>170970</v>
      </c>
      <c r="F1020" s="13">
        <f t="shared" ref="F1020:F1060" si="364">SUM(E1020/D1020)</f>
        <v>0.88011819333051922</v>
      </c>
    </row>
    <row r="1021" spans="1:6" ht="15" customHeight="1" x14ac:dyDescent="0.25">
      <c r="A1021" s="23">
        <v>1</v>
      </c>
      <c r="B1021" s="15" t="s">
        <v>642</v>
      </c>
      <c r="C1021" s="20">
        <v>24</v>
      </c>
      <c r="D1021" s="20">
        <v>14388</v>
      </c>
      <c r="E1021" s="16">
        <v>12157</v>
      </c>
      <c r="F1021" s="18">
        <f t="shared" si="364"/>
        <v>0.84494022796775092</v>
      </c>
    </row>
    <row r="1022" spans="1:6" ht="15" customHeight="1" x14ac:dyDescent="0.25">
      <c r="A1022" s="23">
        <v>2</v>
      </c>
      <c r="B1022" s="15" t="s">
        <v>643</v>
      </c>
      <c r="C1022" s="20">
        <v>16</v>
      </c>
      <c r="D1022" s="20">
        <v>10017</v>
      </c>
      <c r="E1022" s="16">
        <v>8847</v>
      </c>
      <c r="F1022" s="18">
        <f t="shared" si="364"/>
        <v>0.88319856244384543</v>
      </c>
    </row>
    <row r="1023" spans="1:6" ht="15" customHeight="1" x14ac:dyDescent="0.25">
      <c r="A1023" s="15">
        <v>3</v>
      </c>
      <c r="B1023" s="15" t="s">
        <v>644</v>
      </c>
      <c r="C1023" s="20">
        <v>58</v>
      </c>
      <c r="D1023" s="20">
        <v>31375</v>
      </c>
      <c r="E1023" s="16">
        <v>27501</v>
      </c>
      <c r="F1023" s="18">
        <f t="shared" si="364"/>
        <v>0.87652589641434264</v>
      </c>
    </row>
    <row r="1024" spans="1:6" ht="15" customHeight="1" x14ac:dyDescent="0.25">
      <c r="A1024" s="15">
        <v>4</v>
      </c>
      <c r="B1024" s="15" t="s">
        <v>1417</v>
      </c>
      <c r="C1024" s="20">
        <v>52</v>
      </c>
      <c r="D1024" s="20">
        <v>38767</v>
      </c>
      <c r="E1024" s="28">
        <v>34035</v>
      </c>
      <c r="F1024" s="18">
        <f t="shared" si="364"/>
        <v>0.87793742100239891</v>
      </c>
    </row>
    <row r="1025" spans="1:6" ht="15" customHeight="1" x14ac:dyDescent="0.25">
      <c r="A1025" s="23">
        <v>5</v>
      </c>
      <c r="B1025" s="15" t="s">
        <v>645</v>
      </c>
      <c r="C1025" s="20">
        <v>48</v>
      </c>
      <c r="D1025" s="20">
        <v>24188</v>
      </c>
      <c r="E1025" s="16">
        <v>21852</v>
      </c>
      <c r="F1025" s="18">
        <f t="shared" si="364"/>
        <v>0.90342318505043828</v>
      </c>
    </row>
    <row r="1026" spans="1:6" ht="15" customHeight="1" x14ac:dyDescent="0.25">
      <c r="A1026" s="23">
        <v>6</v>
      </c>
      <c r="B1026" s="15" t="s">
        <v>646</v>
      </c>
      <c r="C1026" s="20">
        <v>84</v>
      </c>
      <c r="D1026" s="20">
        <v>41241</v>
      </c>
      <c r="E1026" s="16">
        <v>36636</v>
      </c>
      <c r="F1026" s="18">
        <f t="shared" si="364"/>
        <v>0.88833927402342328</v>
      </c>
    </row>
    <row r="1027" spans="1:6" ht="15" customHeight="1" x14ac:dyDescent="0.25">
      <c r="A1027" s="23">
        <v>7</v>
      </c>
      <c r="B1027" s="15" t="s">
        <v>1418</v>
      </c>
      <c r="C1027" s="20">
        <v>52</v>
      </c>
      <c r="D1027" s="20">
        <v>19752</v>
      </c>
      <c r="E1027" s="16">
        <v>17514</v>
      </c>
      <c r="F1027" s="18">
        <f t="shared" si="364"/>
        <v>0.88669501822600238</v>
      </c>
    </row>
    <row r="1028" spans="1:6" ht="15" customHeight="1" x14ac:dyDescent="0.25">
      <c r="A1028" s="23">
        <v>8</v>
      </c>
      <c r="B1028" s="15" t="s">
        <v>647</v>
      </c>
      <c r="C1028" s="20">
        <v>26</v>
      </c>
      <c r="D1028" s="20">
        <v>14530</v>
      </c>
      <c r="E1028" s="16">
        <v>12428</v>
      </c>
      <c r="F1028" s="18">
        <f t="shared" si="364"/>
        <v>0.85533379215416383</v>
      </c>
    </row>
    <row r="1029" spans="1:6" ht="23.1" customHeight="1" x14ac:dyDescent="0.25">
      <c r="A1029" s="22"/>
      <c r="B1029" s="22" t="s">
        <v>39</v>
      </c>
      <c r="C1029" s="14">
        <f t="shared" ref="C1029" si="365">SUM(C1030:C1039)</f>
        <v>370</v>
      </c>
      <c r="D1029" s="14">
        <f t="shared" ref="D1029:E1029" si="366">SUM(D1030:D1039)</f>
        <v>205295</v>
      </c>
      <c r="E1029" s="14">
        <f t="shared" si="366"/>
        <v>179492</v>
      </c>
      <c r="F1029" s="13">
        <f t="shared" si="364"/>
        <v>0.87431257458778833</v>
      </c>
    </row>
    <row r="1030" spans="1:6" ht="15" customHeight="1" x14ac:dyDescent="0.25">
      <c r="A1030" s="23">
        <v>1</v>
      </c>
      <c r="B1030" s="15" t="s">
        <v>648</v>
      </c>
      <c r="C1030" s="20">
        <v>42</v>
      </c>
      <c r="D1030" s="20">
        <v>16101</v>
      </c>
      <c r="E1030" s="16">
        <v>13931</v>
      </c>
      <c r="F1030" s="18">
        <f t="shared" si="364"/>
        <v>0.86522576237500781</v>
      </c>
    </row>
    <row r="1031" spans="1:6" ht="15" customHeight="1" x14ac:dyDescent="0.25">
      <c r="A1031" s="23">
        <v>2</v>
      </c>
      <c r="B1031" s="15" t="s">
        <v>649</v>
      </c>
      <c r="C1031" s="20">
        <v>36</v>
      </c>
      <c r="D1031" s="20">
        <v>23089</v>
      </c>
      <c r="E1031" s="16">
        <v>20048</v>
      </c>
      <c r="F1031" s="18">
        <f t="shared" si="364"/>
        <v>0.86829226038373253</v>
      </c>
    </row>
    <row r="1032" spans="1:6" ht="15" customHeight="1" x14ac:dyDescent="0.25">
      <c r="A1032" s="23">
        <v>3</v>
      </c>
      <c r="B1032" s="15" t="s">
        <v>650</v>
      </c>
      <c r="C1032" s="20">
        <v>35</v>
      </c>
      <c r="D1032" s="20">
        <v>25718</v>
      </c>
      <c r="E1032" s="16">
        <v>22123</v>
      </c>
      <c r="F1032" s="18">
        <f t="shared" si="364"/>
        <v>0.86021463566373746</v>
      </c>
    </row>
    <row r="1033" spans="1:6" ht="15" customHeight="1" x14ac:dyDescent="0.25">
      <c r="A1033" s="23">
        <v>4</v>
      </c>
      <c r="B1033" s="15" t="s">
        <v>651</v>
      </c>
      <c r="C1033" s="20">
        <v>56</v>
      </c>
      <c r="D1033" s="20">
        <v>29441</v>
      </c>
      <c r="E1033" s="16">
        <v>25853</v>
      </c>
      <c r="F1033" s="18">
        <f t="shared" si="364"/>
        <v>0.87812913963520256</v>
      </c>
    </row>
    <row r="1034" spans="1:6" ht="15" customHeight="1" x14ac:dyDescent="0.25">
      <c r="A1034" s="15">
        <v>5</v>
      </c>
      <c r="B1034" s="15" t="s">
        <v>652</v>
      </c>
      <c r="C1034" s="20">
        <v>44</v>
      </c>
      <c r="D1034" s="20">
        <v>19965</v>
      </c>
      <c r="E1034" s="28">
        <v>17485</v>
      </c>
      <c r="F1034" s="18">
        <f t="shared" si="364"/>
        <v>0.8757826195842725</v>
      </c>
    </row>
    <row r="1035" spans="1:6" ht="15" customHeight="1" x14ac:dyDescent="0.25">
      <c r="A1035" s="23">
        <v>6</v>
      </c>
      <c r="B1035" s="15" t="s">
        <v>653</v>
      </c>
      <c r="C1035" s="20">
        <v>21</v>
      </c>
      <c r="D1035" s="20">
        <v>11617</v>
      </c>
      <c r="E1035" s="16">
        <v>10133</v>
      </c>
      <c r="F1035" s="18">
        <f t="shared" si="364"/>
        <v>0.87225617629336316</v>
      </c>
    </row>
    <row r="1036" spans="1:6" ht="15" customHeight="1" x14ac:dyDescent="0.25">
      <c r="A1036" s="15">
        <v>7</v>
      </c>
      <c r="B1036" s="15" t="s">
        <v>595</v>
      </c>
      <c r="C1036" s="20">
        <v>45</v>
      </c>
      <c r="D1036" s="20">
        <v>25346</v>
      </c>
      <c r="E1036" s="16">
        <v>22359</v>
      </c>
      <c r="F1036" s="18">
        <f t="shared" si="364"/>
        <v>0.88215102974828374</v>
      </c>
    </row>
    <row r="1037" spans="1:6" ht="15" customHeight="1" x14ac:dyDescent="0.25">
      <c r="A1037" s="15">
        <v>8</v>
      </c>
      <c r="B1037" s="15" t="s">
        <v>654</v>
      </c>
      <c r="C1037" s="20">
        <v>44</v>
      </c>
      <c r="D1037" s="20">
        <v>22848</v>
      </c>
      <c r="E1037" s="16">
        <v>19936</v>
      </c>
      <c r="F1037" s="18">
        <f t="shared" si="364"/>
        <v>0.87254901960784315</v>
      </c>
    </row>
    <row r="1038" spans="1:6" ht="15" customHeight="1" x14ac:dyDescent="0.25">
      <c r="A1038" s="15">
        <v>9</v>
      </c>
      <c r="B1038" s="15" t="s">
        <v>655</v>
      </c>
      <c r="C1038" s="20">
        <v>17</v>
      </c>
      <c r="D1038" s="20">
        <v>12865</v>
      </c>
      <c r="E1038" s="16">
        <v>11432</v>
      </c>
      <c r="F1038" s="18">
        <f t="shared" si="364"/>
        <v>0.88861251457442669</v>
      </c>
    </row>
    <row r="1039" spans="1:6" ht="15" customHeight="1" x14ac:dyDescent="0.25">
      <c r="A1039" s="15">
        <v>10</v>
      </c>
      <c r="B1039" s="15" t="s">
        <v>656</v>
      </c>
      <c r="C1039" s="20">
        <v>30</v>
      </c>
      <c r="D1039" s="20">
        <v>18305</v>
      </c>
      <c r="E1039" s="16">
        <v>16192</v>
      </c>
      <c r="F1039" s="18">
        <f t="shared" si="364"/>
        <v>0.88456705818082493</v>
      </c>
    </row>
    <row r="1040" spans="1:6" ht="23.1" customHeight="1" x14ac:dyDescent="0.25">
      <c r="A1040" s="22"/>
      <c r="B1040" s="22" t="s">
        <v>657</v>
      </c>
      <c r="C1040" s="14">
        <f t="shared" ref="C1040" si="367">SUM(C1041+C1049)</f>
        <v>773</v>
      </c>
      <c r="D1040" s="14">
        <f t="shared" ref="D1040:E1040" si="368">SUM(D1041+D1049)</f>
        <v>539459</v>
      </c>
      <c r="E1040" s="14">
        <f t="shared" si="368"/>
        <v>463886</v>
      </c>
      <c r="F1040" s="13">
        <f t="shared" si="364"/>
        <v>0.85990965022364996</v>
      </c>
    </row>
    <row r="1041" spans="1:6" ht="23.1" customHeight="1" x14ac:dyDescent="0.25">
      <c r="A1041" s="22"/>
      <c r="B1041" s="22" t="s">
        <v>6</v>
      </c>
      <c r="C1041" s="14">
        <f t="shared" ref="C1041" si="369">SUM(C1042:C1048)</f>
        <v>392</v>
      </c>
      <c r="D1041" s="14">
        <f t="shared" ref="D1041:E1041" si="370">SUM(D1042:D1048)</f>
        <v>286934</v>
      </c>
      <c r="E1041" s="14">
        <f t="shared" si="370"/>
        <v>249688</v>
      </c>
      <c r="F1041" s="13">
        <f t="shared" si="364"/>
        <v>0.87019314546202264</v>
      </c>
    </row>
    <row r="1042" spans="1:6" ht="15" customHeight="1" x14ac:dyDescent="0.25">
      <c r="A1042" s="15">
        <v>1</v>
      </c>
      <c r="B1042" s="15" t="s">
        <v>658</v>
      </c>
      <c r="C1042" s="20">
        <v>44</v>
      </c>
      <c r="D1042" s="20">
        <v>28193</v>
      </c>
      <c r="E1042" s="16">
        <v>24380</v>
      </c>
      <c r="F1042" s="18">
        <f t="shared" si="364"/>
        <v>0.86475366225658856</v>
      </c>
    </row>
    <row r="1043" spans="1:6" ht="15" customHeight="1" x14ac:dyDescent="0.25">
      <c r="A1043" s="15">
        <v>2</v>
      </c>
      <c r="B1043" s="15" t="s">
        <v>659</v>
      </c>
      <c r="C1043" s="20">
        <v>51</v>
      </c>
      <c r="D1043" s="20">
        <v>34099</v>
      </c>
      <c r="E1043" s="16">
        <v>29842</v>
      </c>
      <c r="F1043" s="18">
        <f t="shared" si="364"/>
        <v>0.87515762925598994</v>
      </c>
    </row>
    <row r="1044" spans="1:6" ht="15" customHeight="1" x14ac:dyDescent="0.25">
      <c r="A1044" s="15">
        <v>3</v>
      </c>
      <c r="B1044" s="15" t="s">
        <v>660</v>
      </c>
      <c r="C1044" s="20">
        <v>38</v>
      </c>
      <c r="D1044" s="20">
        <v>28181</v>
      </c>
      <c r="E1044" s="16">
        <v>24194</v>
      </c>
      <c r="F1044" s="18">
        <f t="shared" si="364"/>
        <v>0.85852169901706821</v>
      </c>
    </row>
    <row r="1045" spans="1:6" ht="15" customHeight="1" x14ac:dyDescent="0.25">
      <c r="A1045" s="15">
        <v>4</v>
      </c>
      <c r="B1045" s="15" t="s">
        <v>33</v>
      </c>
      <c r="C1045" s="20">
        <v>41</v>
      </c>
      <c r="D1045" s="20">
        <v>29585</v>
      </c>
      <c r="E1045" s="16">
        <v>25689</v>
      </c>
      <c r="F1045" s="18">
        <f t="shared" si="364"/>
        <v>0.86831164441439923</v>
      </c>
    </row>
    <row r="1046" spans="1:6" ht="15" customHeight="1" x14ac:dyDescent="0.25">
      <c r="A1046" s="15">
        <v>5</v>
      </c>
      <c r="B1046" s="15" t="s">
        <v>661</v>
      </c>
      <c r="C1046" s="20">
        <v>46</v>
      </c>
      <c r="D1046" s="20">
        <v>32823</v>
      </c>
      <c r="E1046" s="16">
        <v>28113</v>
      </c>
      <c r="F1046" s="18">
        <f t="shared" si="364"/>
        <v>0.85650306187734215</v>
      </c>
    </row>
    <row r="1047" spans="1:6" ht="15" customHeight="1" x14ac:dyDescent="0.25">
      <c r="A1047" s="15">
        <v>6</v>
      </c>
      <c r="B1047" s="15" t="s">
        <v>662</v>
      </c>
      <c r="C1047" s="20">
        <v>35</v>
      </c>
      <c r="D1047" s="20">
        <v>21315</v>
      </c>
      <c r="E1047" s="16">
        <v>18438</v>
      </c>
      <c r="F1047" s="18">
        <f t="shared" si="364"/>
        <v>0.86502463054187195</v>
      </c>
    </row>
    <row r="1048" spans="1:6" ht="15" customHeight="1" x14ac:dyDescent="0.25">
      <c r="A1048" s="15"/>
      <c r="B1048" s="24" t="s">
        <v>1419</v>
      </c>
      <c r="C1048" s="20">
        <v>137</v>
      </c>
      <c r="D1048" s="20">
        <v>112738</v>
      </c>
      <c r="E1048" s="16">
        <v>99032</v>
      </c>
      <c r="F1048" s="18">
        <f t="shared" si="364"/>
        <v>0.87842608525962851</v>
      </c>
    </row>
    <row r="1049" spans="1:6" ht="23.1" customHeight="1" x14ac:dyDescent="0.25">
      <c r="A1049" s="22"/>
      <c r="B1049" s="22" t="s">
        <v>7</v>
      </c>
      <c r="C1049" s="14">
        <f t="shared" ref="C1049" si="371">SUM(C1050:C1059)</f>
        <v>381</v>
      </c>
      <c r="D1049" s="14">
        <f t="shared" ref="D1049:E1049" si="372">SUM(D1050:D1059)</f>
        <v>252525</v>
      </c>
      <c r="E1049" s="14">
        <f t="shared" si="372"/>
        <v>214198</v>
      </c>
      <c r="F1049" s="13">
        <f t="shared" si="364"/>
        <v>0.84822492822492823</v>
      </c>
    </row>
    <row r="1050" spans="1:6" ht="15" customHeight="1" x14ac:dyDescent="0.25">
      <c r="A1050" s="15">
        <v>1</v>
      </c>
      <c r="B1050" s="15" t="s">
        <v>663</v>
      </c>
      <c r="C1050" s="20">
        <v>30</v>
      </c>
      <c r="D1050" s="20">
        <v>20235</v>
      </c>
      <c r="E1050" s="16">
        <v>17776</v>
      </c>
      <c r="F1050" s="18">
        <f t="shared" si="364"/>
        <v>0.87847788485297751</v>
      </c>
    </row>
    <row r="1051" spans="1:6" ht="15" customHeight="1" x14ac:dyDescent="0.25">
      <c r="A1051" s="15">
        <v>2</v>
      </c>
      <c r="B1051" s="15" t="s">
        <v>664</v>
      </c>
      <c r="C1051" s="20">
        <v>32</v>
      </c>
      <c r="D1051" s="20">
        <v>23072</v>
      </c>
      <c r="E1051" s="16">
        <v>19266</v>
      </c>
      <c r="F1051" s="18">
        <f t="shared" si="364"/>
        <v>0.8350381414701803</v>
      </c>
    </row>
    <row r="1052" spans="1:6" ht="15" customHeight="1" x14ac:dyDescent="0.25">
      <c r="A1052" s="15">
        <v>3</v>
      </c>
      <c r="B1052" s="15" t="s">
        <v>665</v>
      </c>
      <c r="C1052" s="20">
        <v>32</v>
      </c>
      <c r="D1052" s="20">
        <v>21263</v>
      </c>
      <c r="E1052" s="16">
        <v>17108</v>
      </c>
      <c r="F1052" s="18">
        <f t="shared" si="364"/>
        <v>0.80459013309504779</v>
      </c>
    </row>
    <row r="1053" spans="1:6" ht="15" customHeight="1" x14ac:dyDescent="0.25">
      <c r="A1053" s="15">
        <v>4</v>
      </c>
      <c r="B1053" s="15" t="s">
        <v>666</v>
      </c>
      <c r="C1053" s="20">
        <v>50</v>
      </c>
      <c r="D1053" s="20">
        <v>32218</v>
      </c>
      <c r="E1053" s="16">
        <v>28135</v>
      </c>
      <c r="F1053" s="18">
        <f t="shared" si="364"/>
        <v>0.87326960084424854</v>
      </c>
    </row>
    <row r="1054" spans="1:6" ht="15" customHeight="1" x14ac:dyDescent="0.25">
      <c r="A1054" s="15">
        <v>5</v>
      </c>
      <c r="B1054" s="15" t="s">
        <v>667</v>
      </c>
      <c r="C1054" s="20">
        <v>30</v>
      </c>
      <c r="D1054" s="20">
        <v>21770</v>
      </c>
      <c r="E1054" s="16">
        <v>18350</v>
      </c>
      <c r="F1054" s="18">
        <f t="shared" si="364"/>
        <v>0.84290307762976568</v>
      </c>
    </row>
    <row r="1055" spans="1:6" ht="15" customHeight="1" x14ac:dyDescent="0.25">
      <c r="A1055" s="15">
        <v>6</v>
      </c>
      <c r="B1055" s="15" t="s">
        <v>668</v>
      </c>
      <c r="C1055" s="20">
        <v>40</v>
      </c>
      <c r="D1055" s="20">
        <v>25731</v>
      </c>
      <c r="E1055" s="16">
        <v>21258</v>
      </c>
      <c r="F1055" s="18">
        <f t="shared" si="364"/>
        <v>0.82616299405386495</v>
      </c>
    </row>
    <row r="1056" spans="1:6" ht="15" customHeight="1" x14ac:dyDescent="0.25">
      <c r="A1056" s="15">
        <v>7</v>
      </c>
      <c r="B1056" s="15" t="s">
        <v>669</v>
      </c>
      <c r="C1056" s="20">
        <v>44</v>
      </c>
      <c r="D1056" s="20">
        <v>28901</v>
      </c>
      <c r="E1056" s="16">
        <v>25146</v>
      </c>
      <c r="F1056" s="18">
        <f t="shared" si="364"/>
        <v>0.8700736998719768</v>
      </c>
    </row>
    <row r="1057" spans="1:6" ht="15" customHeight="1" x14ac:dyDescent="0.25">
      <c r="A1057" s="15">
        <v>8</v>
      </c>
      <c r="B1057" s="15" t="s">
        <v>670</v>
      </c>
      <c r="C1057" s="20">
        <v>23</v>
      </c>
      <c r="D1057" s="20">
        <v>19067</v>
      </c>
      <c r="E1057" s="16">
        <v>15706</v>
      </c>
      <c r="F1057" s="18">
        <f t="shared" si="364"/>
        <v>0.82372685792206435</v>
      </c>
    </row>
    <row r="1058" spans="1:6" ht="15" customHeight="1" x14ac:dyDescent="0.25">
      <c r="A1058" s="15">
        <v>9</v>
      </c>
      <c r="B1058" s="15" t="s">
        <v>671</v>
      </c>
      <c r="C1058" s="20">
        <v>33</v>
      </c>
      <c r="D1058" s="20">
        <v>23201</v>
      </c>
      <c r="E1058" s="16">
        <v>20180</v>
      </c>
      <c r="F1058" s="18">
        <f t="shared" si="364"/>
        <v>0.86979009525451489</v>
      </c>
    </row>
    <row r="1059" spans="1:6" ht="15" customHeight="1" x14ac:dyDescent="0.25">
      <c r="A1059" s="15">
        <v>10</v>
      </c>
      <c r="B1059" s="15" t="s">
        <v>672</v>
      </c>
      <c r="C1059" s="20">
        <v>67</v>
      </c>
      <c r="D1059" s="20">
        <v>37067</v>
      </c>
      <c r="E1059" s="16">
        <v>31273</v>
      </c>
      <c r="F1059" s="18">
        <f t="shared" si="364"/>
        <v>0.84368845603906439</v>
      </c>
    </row>
    <row r="1060" spans="1:6" ht="23.1" customHeight="1" x14ac:dyDescent="0.25">
      <c r="A1060" s="22"/>
      <c r="B1060" s="22" t="s">
        <v>673</v>
      </c>
      <c r="C1060" s="14">
        <f t="shared" ref="C1060" si="373">SUM(C1062+C1065)</f>
        <v>177</v>
      </c>
      <c r="D1060" s="14">
        <f t="shared" ref="D1060:E1060" si="374">SUM(D1062+D1065)</f>
        <v>124930</v>
      </c>
      <c r="E1060" s="14">
        <f t="shared" si="374"/>
        <v>109148</v>
      </c>
      <c r="F1060" s="13">
        <f t="shared" si="364"/>
        <v>0.87367325702393339</v>
      </c>
    </row>
    <row r="1061" spans="1:6" ht="23.1" customHeight="1" x14ac:dyDescent="0.25">
      <c r="A1061" s="22"/>
      <c r="B1061" s="22" t="s">
        <v>22</v>
      </c>
      <c r="C1061" s="14"/>
      <c r="D1061" s="14"/>
      <c r="E1061" s="14"/>
      <c r="F1061" s="18"/>
    </row>
    <row r="1062" spans="1:6" ht="23.1" customHeight="1" x14ac:dyDescent="0.25">
      <c r="A1062" s="22"/>
      <c r="B1062" s="22" t="s">
        <v>23</v>
      </c>
      <c r="C1062" s="14">
        <f t="shared" ref="C1062" si="375">SUM(C1063:C1064)</f>
        <v>80</v>
      </c>
      <c r="D1062" s="14">
        <f t="shared" ref="D1062:E1062" si="376">SUM(D1063:D1064)</f>
        <v>55754</v>
      </c>
      <c r="E1062" s="14">
        <f t="shared" si="376"/>
        <v>48718</v>
      </c>
      <c r="F1062" s="13">
        <f t="shared" ref="F1062:F1093" si="377">SUM(E1062/D1062)</f>
        <v>0.8738027764824049</v>
      </c>
    </row>
    <row r="1063" spans="1:6" ht="15" customHeight="1" x14ac:dyDescent="0.25">
      <c r="A1063" s="15">
        <v>1</v>
      </c>
      <c r="B1063" s="15" t="s">
        <v>463</v>
      </c>
      <c r="C1063" s="20">
        <v>54</v>
      </c>
      <c r="D1063" s="20">
        <v>36823</v>
      </c>
      <c r="E1063" s="16">
        <v>32273</v>
      </c>
      <c r="F1063" s="18">
        <f t="shared" si="377"/>
        <v>0.87643592320017383</v>
      </c>
    </row>
    <row r="1064" spans="1:6" ht="15" customHeight="1" x14ac:dyDescent="0.25">
      <c r="A1064" s="15">
        <v>2</v>
      </c>
      <c r="B1064" s="15" t="s">
        <v>674</v>
      </c>
      <c r="C1064" s="20">
        <v>26</v>
      </c>
      <c r="D1064" s="20">
        <v>18931</v>
      </c>
      <c r="E1064" s="16">
        <v>16445</v>
      </c>
      <c r="F1064" s="18">
        <f t="shared" si="377"/>
        <v>0.8686809994189425</v>
      </c>
    </row>
    <row r="1065" spans="1:6" ht="23.1" customHeight="1" x14ac:dyDescent="0.25">
      <c r="A1065" s="22"/>
      <c r="B1065" s="22" t="s">
        <v>39</v>
      </c>
      <c r="C1065" s="14">
        <f t="shared" ref="C1065" si="378">SUM(C1066:C1068)</f>
        <v>97</v>
      </c>
      <c r="D1065" s="14">
        <f t="shared" ref="D1065:E1065" si="379">SUM(D1066:D1068)</f>
        <v>69176</v>
      </c>
      <c r="E1065" s="14">
        <f t="shared" si="379"/>
        <v>60430</v>
      </c>
      <c r="F1065" s="13">
        <f t="shared" si="377"/>
        <v>0.87356886781542731</v>
      </c>
    </row>
    <row r="1066" spans="1:6" ht="15" customHeight="1" x14ac:dyDescent="0.25">
      <c r="A1066" s="15">
        <v>1</v>
      </c>
      <c r="B1066" s="15" t="s">
        <v>1420</v>
      </c>
      <c r="C1066" s="20">
        <v>34</v>
      </c>
      <c r="D1066" s="20">
        <v>26628</v>
      </c>
      <c r="E1066" s="16">
        <v>23848</v>
      </c>
      <c r="F1066" s="18">
        <f t="shared" si="377"/>
        <v>0.8955986179960943</v>
      </c>
    </row>
    <row r="1067" spans="1:6" ht="15" customHeight="1" x14ac:dyDescent="0.25">
      <c r="A1067" s="15">
        <v>2</v>
      </c>
      <c r="B1067" s="15" t="s">
        <v>675</v>
      </c>
      <c r="C1067" s="20">
        <v>38</v>
      </c>
      <c r="D1067" s="20">
        <v>27118</v>
      </c>
      <c r="E1067" s="16">
        <v>22887</v>
      </c>
      <c r="F1067" s="18">
        <f t="shared" si="377"/>
        <v>0.84397816948152515</v>
      </c>
    </row>
    <row r="1068" spans="1:6" ht="15" customHeight="1" x14ac:dyDescent="0.25">
      <c r="A1068" s="15">
        <v>3</v>
      </c>
      <c r="B1068" s="15" t="s">
        <v>676</v>
      </c>
      <c r="C1068" s="20">
        <v>25</v>
      </c>
      <c r="D1068" s="20">
        <v>15430</v>
      </c>
      <c r="E1068" s="17">
        <v>13695</v>
      </c>
      <c r="F1068" s="18">
        <f t="shared" si="377"/>
        <v>0.88755670771224882</v>
      </c>
    </row>
    <row r="1069" spans="1:6" ht="23.1" customHeight="1" x14ac:dyDescent="0.25">
      <c r="A1069" s="22"/>
      <c r="B1069" s="22" t="s">
        <v>677</v>
      </c>
      <c r="C1069" s="14">
        <f t="shared" ref="C1069" si="380">SUM(C1070+C1078+C1087+C1097+C1106+C1119)</f>
        <v>2688</v>
      </c>
      <c r="D1069" s="14">
        <f t="shared" ref="D1069:E1069" si="381">SUM(D1070+D1078+D1087+D1097+D1106+D1119)</f>
        <v>1649730</v>
      </c>
      <c r="E1069" s="14">
        <f t="shared" si="381"/>
        <v>1401557</v>
      </c>
      <c r="F1069" s="13">
        <f t="shared" si="377"/>
        <v>0.84956750498566436</v>
      </c>
    </row>
    <row r="1070" spans="1:6" ht="23.1" customHeight="1" x14ac:dyDescent="0.25">
      <c r="A1070" s="22"/>
      <c r="B1070" s="22" t="s">
        <v>6</v>
      </c>
      <c r="C1070" s="14">
        <f t="shared" ref="C1070" si="382">SUM(C1071:C1077)</f>
        <v>502</v>
      </c>
      <c r="D1070" s="14">
        <f t="shared" ref="D1070:E1070" si="383">SUM(D1071:D1077)</f>
        <v>234519</v>
      </c>
      <c r="E1070" s="14">
        <f t="shared" si="383"/>
        <v>203135</v>
      </c>
      <c r="F1070" s="13">
        <f t="shared" si="377"/>
        <v>0.86617715408986051</v>
      </c>
    </row>
    <row r="1071" spans="1:6" ht="15" customHeight="1" x14ac:dyDescent="0.25">
      <c r="A1071" s="15">
        <v>1</v>
      </c>
      <c r="B1071" s="15" t="s">
        <v>678</v>
      </c>
      <c r="C1071" s="20">
        <v>44</v>
      </c>
      <c r="D1071" s="20">
        <v>25103</v>
      </c>
      <c r="E1071" s="16">
        <v>20816</v>
      </c>
      <c r="F1071" s="18">
        <f t="shared" si="377"/>
        <v>0.82922359877305496</v>
      </c>
    </row>
    <row r="1072" spans="1:6" ht="15" customHeight="1" x14ac:dyDescent="0.25">
      <c r="A1072" s="15">
        <v>2</v>
      </c>
      <c r="B1072" s="15" t="s">
        <v>679</v>
      </c>
      <c r="C1072" s="20">
        <v>49</v>
      </c>
      <c r="D1072" s="20">
        <v>22105</v>
      </c>
      <c r="E1072" s="16">
        <v>18035</v>
      </c>
      <c r="F1072" s="18">
        <f t="shared" si="377"/>
        <v>0.81587876046143404</v>
      </c>
    </row>
    <row r="1073" spans="1:6" ht="15" customHeight="1" x14ac:dyDescent="0.25">
      <c r="A1073" s="15">
        <v>3</v>
      </c>
      <c r="B1073" s="15" t="s">
        <v>680</v>
      </c>
      <c r="C1073" s="20">
        <v>123</v>
      </c>
      <c r="D1073" s="20">
        <v>42582</v>
      </c>
      <c r="E1073" s="16">
        <v>37582</v>
      </c>
      <c r="F1073" s="18">
        <f t="shared" si="377"/>
        <v>0.88257949368277677</v>
      </c>
    </row>
    <row r="1074" spans="1:6" ht="15" customHeight="1" x14ac:dyDescent="0.25">
      <c r="A1074" s="15">
        <v>4</v>
      </c>
      <c r="B1074" s="15" t="s">
        <v>681</v>
      </c>
      <c r="C1074" s="20">
        <v>75</v>
      </c>
      <c r="D1074" s="20">
        <v>54996</v>
      </c>
      <c r="E1074" s="16">
        <v>48396</v>
      </c>
      <c r="F1074" s="18">
        <f t="shared" si="377"/>
        <v>0.87999127209251582</v>
      </c>
    </row>
    <row r="1075" spans="1:6" ht="15" customHeight="1" x14ac:dyDescent="0.25">
      <c r="A1075" s="15">
        <v>5</v>
      </c>
      <c r="B1075" s="15" t="s">
        <v>1258</v>
      </c>
      <c r="C1075" s="20">
        <v>91</v>
      </c>
      <c r="D1075" s="20">
        <v>32684</v>
      </c>
      <c r="E1075" s="17">
        <v>29105</v>
      </c>
      <c r="F1075" s="18">
        <f t="shared" si="377"/>
        <v>0.89049687920695142</v>
      </c>
    </row>
    <row r="1076" spans="1:6" ht="15" customHeight="1" x14ac:dyDescent="0.25">
      <c r="A1076" s="15">
        <v>6</v>
      </c>
      <c r="B1076" s="15" t="s">
        <v>682</v>
      </c>
      <c r="C1076" s="20">
        <v>71</v>
      </c>
      <c r="D1076" s="20">
        <v>41879</v>
      </c>
      <c r="E1076" s="16">
        <v>36290</v>
      </c>
      <c r="F1076" s="18">
        <f t="shared" si="377"/>
        <v>0.86654409131068078</v>
      </c>
    </row>
    <row r="1077" spans="1:6" ht="15" customHeight="1" x14ac:dyDescent="0.25">
      <c r="A1077" s="15">
        <v>7</v>
      </c>
      <c r="B1077" s="15" t="s">
        <v>683</v>
      </c>
      <c r="C1077" s="20">
        <v>49</v>
      </c>
      <c r="D1077" s="20">
        <v>15170</v>
      </c>
      <c r="E1077" s="16">
        <v>12911</v>
      </c>
      <c r="F1077" s="18">
        <f t="shared" si="377"/>
        <v>0.85108767303889254</v>
      </c>
    </row>
    <row r="1078" spans="1:6" ht="23.1" customHeight="1" x14ac:dyDescent="0.25">
      <c r="A1078" s="22"/>
      <c r="B1078" s="22" t="s">
        <v>7</v>
      </c>
      <c r="C1078" s="14">
        <f t="shared" ref="C1078" si="384">SUM(C1079:C1086)</f>
        <v>396</v>
      </c>
      <c r="D1078" s="14">
        <f t="shared" ref="D1078:E1078" si="385">SUM(D1079:D1086)</f>
        <v>223656</v>
      </c>
      <c r="E1078" s="14">
        <f t="shared" si="385"/>
        <v>193187</v>
      </c>
      <c r="F1078" s="13">
        <f t="shared" si="377"/>
        <v>0.86376846585828237</v>
      </c>
    </row>
    <row r="1079" spans="1:6" ht="15" customHeight="1" x14ac:dyDescent="0.25">
      <c r="A1079" s="15">
        <v>1</v>
      </c>
      <c r="B1079" s="15" t="s">
        <v>684</v>
      </c>
      <c r="C1079" s="20">
        <v>58</v>
      </c>
      <c r="D1079" s="20">
        <v>25616</v>
      </c>
      <c r="E1079" s="16">
        <v>22062</v>
      </c>
      <c r="F1079" s="18">
        <f t="shared" si="377"/>
        <v>0.8612585883822611</v>
      </c>
    </row>
    <row r="1080" spans="1:6" ht="15" customHeight="1" x14ac:dyDescent="0.25">
      <c r="A1080" s="15">
        <v>2</v>
      </c>
      <c r="B1080" s="15" t="s">
        <v>685</v>
      </c>
      <c r="C1080" s="20">
        <v>34</v>
      </c>
      <c r="D1080" s="20">
        <v>24755</v>
      </c>
      <c r="E1080" s="16">
        <v>21543</v>
      </c>
      <c r="F1080" s="18">
        <f t="shared" si="377"/>
        <v>0.87024843465966473</v>
      </c>
    </row>
    <row r="1081" spans="1:6" ht="15" customHeight="1" x14ac:dyDescent="0.25">
      <c r="A1081" s="15">
        <v>3</v>
      </c>
      <c r="B1081" s="15" t="s">
        <v>686</v>
      </c>
      <c r="C1081" s="20">
        <v>90</v>
      </c>
      <c r="D1081" s="20">
        <v>33775</v>
      </c>
      <c r="E1081" s="16">
        <v>29758</v>
      </c>
      <c r="F1081" s="18">
        <f t="shared" si="377"/>
        <v>0.88106587712805329</v>
      </c>
    </row>
    <row r="1082" spans="1:6" ht="15" customHeight="1" x14ac:dyDescent="0.25">
      <c r="A1082" s="15">
        <v>4</v>
      </c>
      <c r="B1082" s="15" t="s">
        <v>687</v>
      </c>
      <c r="C1082" s="20">
        <v>28</v>
      </c>
      <c r="D1082" s="20">
        <v>16299</v>
      </c>
      <c r="E1082" s="16">
        <v>13667</v>
      </c>
      <c r="F1082" s="18">
        <f t="shared" si="377"/>
        <v>0.83851770047242158</v>
      </c>
    </row>
    <row r="1083" spans="1:6" ht="15" customHeight="1" x14ac:dyDescent="0.25">
      <c r="A1083" s="15">
        <v>5</v>
      </c>
      <c r="B1083" s="15" t="s">
        <v>688</v>
      </c>
      <c r="C1083" s="20">
        <v>48</v>
      </c>
      <c r="D1083" s="20">
        <v>39701</v>
      </c>
      <c r="E1083" s="16">
        <v>32945</v>
      </c>
      <c r="F1083" s="18">
        <f t="shared" si="377"/>
        <v>0.82982796403113268</v>
      </c>
    </row>
    <row r="1084" spans="1:6" ht="15" customHeight="1" x14ac:dyDescent="0.25">
      <c r="A1084" s="15">
        <v>6</v>
      </c>
      <c r="B1084" s="15" t="s">
        <v>317</v>
      </c>
      <c r="C1084" s="20">
        <v>33</v>
      </c>
      <c r="D1084" s="20">
        <v>21223</v>
      </c>
      <c r="E1084" s="16">
        <v>18938</v>
      </c>
      <c r="F1084" s="18">
        <f t="shared" si="377"/>
        <v>0.89233378881402248</v>
      </c>
    </row>
    <row r="1085" spans="1:6" ht="15" customHeight="1" x14ac:dyDescent="0.25">
      <c r="A1085" s="15">
        <v>7</v>
      </c>
      <c r="B1085" s="15" t="s">
        <v>183</v>
      </c>
      <c r="C1085" s="20">
        <v>76</v>
      </c>
      <c r="D1085" s="20">
        <v>43196</v>
      </c>
      <c r="E1085" s="16">
        <v>37273</v>
      </c>
      <c r="F1085" s="18">
        <f t="shared" si="377"/>
        <v>0.86288082229836094</v>
      </c>
    </row>
    <row r="1086" spans="1:6" ht="15" customHeight="1" x14ac:dyDescent="0.25">
      <c r="A1086" s="15">
        <v>8</v>
      </c>
      <c r="B1086" s="15" t="s">
        <v>689</v>
      </c>
      <c r="C1086" s="20">
        <v>29</v>
      </c>
      <c r="D1086" s="20">
        <v>19091</v>
      </c>
      <c r="E1086" s="16">
        <v>17001</v>
      </c>
      <c r="F1086" s="18">
        <f t="shared" si="377"/>
        <v>0.89052433083651983</v>
      </c>
    </row>
    <row r="1087" spans="1:6" ht="23.1" customHeight="1" x14ac:dyDescent="0.25">
      <c r="A1087" s="22"/>
      <c r="B1087" s="22" t="s">
        <v>8</v>
      </c>
      <c r="C1087" s="14">
        <f t="shared" ref="C1087" si="386">SUM(C1088:C1096)</f>
        <v>500</v>
      </c>
      <c r="D1087" s="14">
        <f t="shared" ref="D1087:E1087" si="387">SUM(D1088:D1096)</f>
        <v>275733</v>
      </c>
      <c r="E1087" s="14">
        <f t="shared" si="387"/>
        <v>230942</v>
      </c>
      <c r="F1087" s="13">
        <f t="shared" si="377"/>
        <v>0.83755662180442669</v>
      </c>
    </row>
    <row r="1088" spans="1:6" ht="15" customHeight="1" x14ac:dyDescent="0.25">
      <c r="A1088" s="15">
        <v>1</v>
      </c>
      <c r="B1088" s="15" t="s">
        <v>690</v>
      </c>
      <c r="C1088" s="20">
        <v>33</v>
      </c>
      <c r="D1088" s="20">
        <v>16649</v>
      </c>
      <c r="E1088" s="16">
        <v>13839</v>
      </c>
      <c r="F1088" s="18">
        <f t="shared" si="377"/>
        <v>0.83122109436002167</v>
      </c>
    </row>
    <row r="1089" spans="1:6" ht="15" customHeight="1" x14ac:dyDescent="0.25">
      <c r="A1089" s="15">
        <v>2</v>
      </c>
      <c r="B1089" s="15" t="s">
        <v>691</v>
      </c>
      <c r="C1089" s="20">
        <v>17</v>
      </c>
      <c r="D1089" s="20">
        <v>10181</v>
      </c>
      <c r="E1089" s="16">
        <v>8686</v>
      </c>
      <c r="F1089" s="18">
        <f t="shared" si="377"/>
        <v>0.85315784304095865</v>
      </c>
    </row>
    <row r="1090" spans="1:6" ht="15" customHeight="1" x14ac:dyDescent="0.25">
      <c r="A1090" s="15">
        <v>3</v>
      </c>
      <c r="B1090" s="15" t="s">
        <v>253</v>
      </c>
      <c r="C1090" s="20">
        <v>77</v>
      </c>
      <c r="D1090" s="20">
        <v>36981</v>
      </c>
      <c r="E1090" s="16">
        <v>31714</v>
      </c>
      <c r="F1090" s="18">
        <f t="shared" si="377"/>
        <v>0.85757551174927671</v>
      </c>
    </row>
    <row r="1091" spans="1:6" ht="15" customHeight="1" x14ac:dyDescent="0.25">
      <c r="A1091" s="15">
        <v>4</v>
      </c>
      <c r="B1091" s="15" t="s">
        <v>692</v>
      </c>
      <c r="C1091" s="20">
        <v>69</v>
      </c>
      <c r="D1091" s="20">
        <v>40270</v>
      </c>
      <c r="E1091" s="16">
        <v>31221</v>
      </c>
      <c r="F1091" s="18">
        <f t="shared" si="377"/>
        <v>0.77529178048174818</v>
      </c>
    </row>
    <row r="1092" spans="1:6" ht="15" customHeight="1" x14ac:dyDescent="0.25">
      <c r="A1092" s="15">
        <v>5</v>
      </c>
      <c r="B1092" s="15" t="s">
        <v>693</v>
      </c>
      <c r="C1092" s="20">
        <v>72</v>
      </c>
      <c r="D1092" s="20">
        <v>41028</v>
      </c>
      <c r="E1092" s="16">
        <v>35074</v>
      </c>
      <c r="F1092" s="18">
        <f t="shared" si="377"/>
        <v>0.85487959442332062</v>
      </c>
    </row>
    <row r="1093" spans="1:6" ht="15" customHeight="1" x14ac:dyDescent="0.25">
      <c r="A1093" s="15">
        <v>6</v>
      </c>
      <c r="B1093" s="15" t="s">
        <v>694</v>
      </c>
      <c r="C1093" s="20">
        <v>82</v>
      </c>
      <c r="D1093" s="20">
        <v>43548</v>
      </c>
      <c r="E1093" s="16">
        <v>35378</v>
      </c>
      <c r="F1093" s="18">
        <f t="shared" si="377"/>
        <v>0.81239092495637</v>
      </c>
    </row>
    <row r="1094" spans="1:6" ht="15" customHeight="1" x14ac:dyDescent="0.25">
      <c r="A1094" s="15">
        <v>7</v>
      </c>
      <c r="B1094" s="15" t="s">
        <v>695</v>
      </c>
      <c r="C1094" s="20">
        <v>52</v>
      </c>
      <c r="D1094" s="20">
        <v>24963</v>
      </c>
      <c r="E1094" s="16">
        <v>21429</v>
      </c>
      <c r="F1094" s="18">
        <f t="shared" ref="F1094:F1117" si="388">SUM(E1094/D1094)</f>
        <v>0.85843047710611708</v>
      </c>
    </row>
    <row r="1095" spans="1:6" ht="15" customHeight="1" x14ac:dyDescent="0.25">
      <c r="A1095" s="15">
        <v>8</v>
      </c>
      <c r="B1095" s="15" t="s">
        <v>696</v>
      </c>
      <c r="C1095" s="20">
        <v>26</v>
      </c>
      <c r="D1095" s="20">
        <v>15592</v>
      </c>
      <c r="E1095" s="16">
        <v>13369</v>
      </c>
      <c r="F1095" s="18">
        <f t="shared" si="388"/>
        <v>0.85742688558234992</v>
      </c>
    </row>
    <row r="1096" spans="1:6" ht="15" customHeight="1" x14ac:dyDescent="0.25">
      <c r="A1096" s="15">
        <v>9</v>
      </c>
      <c r="B1096" s="15" t="s">
        <v>697</v>
      </c>
      <c r="C1096" s="20">
        <v>72</v>
      </c>
      <c r="D1096" s="20">
        <v>46521</v>
      </c>
      <c r="E1096" s="16">
        <v>40232</v>
      </c>
      <c r="F1096" s="18">
        <f t="shared" si="388"/>
        <v>0.86481374003138367</v>
      </c>
    </row>
    <row r="1097" spans="1:6" ht="23.1" customHeight="1" x14ac:dyDescent="0.25">
      <c r="A1097" s="22"/>
      <c r="B1097" s="22" t="s">
        <v>9</v>
      </c>
      <c r="C1097" s="14">
        <f t="shared" ref="C1097" si="389">SUM(C1098:C1105)</f>
        <v>402</v>
      </c>
      <c r="D1097" s="14">
        <f t="shared" ref="D1097:E1097" si="390">SUM(D1098:D1105)</f>
        <v>266462</v>
      </c>
      <c r="E1097" s="14">
        <f t="shared" si="390"/>
        <v>233419</v>
      </c>
      <c r="F1097" s="13">
        <f t="shared" si="388"/>
        <v>0.87599357506886533</v>
      </c>
    </row>
    <row r="1098" spans="1:6" ht="15" customHeight="1" x14ac:dyDescent="0.25">
      <c r="A1098" s="15">
        <v>1</v>
      </c>
      <c r="B1098" s="15" t="s">
        <v>698</v>
      </c>
      <c r="C1098" s="20">
        <v>29</v>
      </c>
      <c r="D1098" s="20">
        <v>19877</v>
      </c>
      <c r="E1098" s="16">
        <v>17546</v>
      </c>
      <c r="F1098" s="18">
        <f t="shared" si="388"/>
        <v>0.88272878200935756</v>
      </c>
    </row>
    <row r="1099" spans="1:6" ht="15" customHeight="1" x14ac:dyDescent="0.25">
      <c r="A1099" s="15">
        <v>2</v>
      </c>
      <c r="B1099" s="15" t="s">
        <v>699</v>
      </c>
      <c r="C1099" s="20">
        <v>32</v>
      </c>
      <c r="D1099" s="20">
        <v>23885</v>
      </c>
      <c r="E1099" s="16">
        <v>21120</v>
      </c>
      <c r="F1099" s="18">
        <f t="shared" si="388"/>
        <v>0.88423696880887581</v>
      </c>
    </row>
    <row r="1100" spans="1:6" ht="15" customHeight="1" x14ac:dyDescent="0.25">
      <c r="A1100" s="15">
        <v>3</v>
      </c>
      <c r="B1100" s="15" t="s">
        <v>700</v>
      </c>
      <c r="C1100" s="20">
        <v>54</v>
      </c>
      <c r="D1100" s="20">
        <v>39162</v>
      </c>
      <c r="E1100" s="16">
        <v>34453</v>
      </c>
      <c r="F1100" s="18">
        <f t="shared" si="388"/>
        <v>0.87975588580767072</v>
      </c>
    </row>
    <row r="1101" spans="1:6" ht="15" customHeight="1" x14ac:dyDescent="0.25">
      <c r="A1101" s="15">
        <v>4</v>
      </c>
      <c r="B1101" s="15" t="s">
        <v>701</v>
      </c>
      <c r="C1101" s="20">
        <v>46</v>
      </c>
      <c r="D1101" s="20">
        <v>28060</v>
      </c>
      <c r="E1101" s="16">
        <v>24594</v>
      </c>
      <c r="F1101" s="18">
        <f t="shared" si="388"/>
        <v>0.87647897362794014</v>
      </c>
    </row>
    <row r="1102" spans="1:6" ht="15" customHeight="1" x14ac:dyDescent="0.25">
      <c r="A1102" s="15">
        <v>5</v>
      </c>
      <c r="B1102" s="15" t="s">
        <v>702</v>
      </c>
      <c r="C1102" s="20">
        <v>49</v>
      </c>
      <c r="D1102" s="20">
        <v>22785</v>
      </c>
      <c r="E1102" s="16">
        <v>19952</v>
      </c>
      <c r="F1102" s="18">
        <f t="shared" si="388"/>
        <v>0.87566381391266179</v>
      </c>
    </row>
    <row r="1103" spans="1:6" ht="15" customHeight="1" x14ac:dyDescent="0.25">
      <c r="A1103" s="15">
        <v>6</v>
      </c>
      <c r="B1103" s="15" t="s">
        <v>703</v>
      </c>
      <c r="C1103" s="20">
        <v>74</v>
      </c>
      <c r="D1103" s="20">
        <v>50677</v>
      </c>
      <c r="E1103" s="16">
        <v>45597</v>
      </c>
      <c r="F1103" s="18">
        <f t="shared" si="388"/>
        <v>0.89975728634291685</v>
      </c>
    </row>
    <row r="1104" spans="1:6" ht="15" customHeight="1" x14ac:dyDescent="0.25">
      <c r="A1104" s="15">
        <v>7</v>
      </c>
      <c r="B1104" s="15" t="s">
        <v>704</v>
      </c>
      <c r="C1104" s="20">
        <v>36</v>
      </c>
      <c r="D1104" s="20">
        <v>23393</v>
      </c>
      <c r="E1104" s="16">
        <v>20279</v>
      </c>
      <c r="F1104" s="18">
        <f t="shared" si="388"/>
        <v>0.86688325567477453</v>
      </c>
    </row>
    <row r="1105" spans="1:6" ht="15" customHeight="1" x14ac:dyDescent="0.25">
      <c r="A1105" s="15"/>
      <c r="B1105" s="24" t="s">
        <v>705</v>
      </c>
      <c r="C1105" s="20">
        <v>82</v>
      </c>
      <c r="D1105" s="20">
        <v>58623</v>
      </c>
      <c r="E1105" s="16">
        <v>49878</v>
      </c>
      <c r="F1105" s="18">
        <f t="shared" si="388"/>
        <v>0.85082646742746026</v>
      </c>
    </row>
    <row r="1106" spans="1:6" ht="23.1" customHeight="1" x14ac:dyDescent="0.25">
      <c r="A1106" s="22"/>
      <c r="B1106" s="22" t="s">
        <v>10</v>
      </c>
      <c r="C1106" s="14">
        <f t="shared" ref="C1106" si="391">SUM(C1107:C1117)</f>
        <v>471</v>
      </c>
      <c r="D1106" s="14">
        <f t="shared" ref="D1106:E1106" si="392">SUM(D1107:D1117)</f>
        <v>318739</v>
      </c>
      <c r="E1106" s="14">
        <f t="shared" si="392"/>
        <v>275026</v>
      </c>
      <c r="F1106" s="13">
        <f t="shared" si="388"/>
        <v>0.86285644367335035</v>
      </c>
    </row>
    <row r="1107" spans="1:6" ht="15" customHeight="1" x14ac:dyDescent="0.25">
      <c r="A1107" s="15">
        <v>1</v>
      </c>
      <c r="B1107" s="15" t="s">
        <v>706</v>
      </c>
      <c r="C1107" s="20">
        <v>52</v>
      </c>
      <c r="D1107" s="20">
        <v>36230</v>
      </c>
      <c r="E1107" s="16">
        <v>31414</v>
      </c>
      <c r="F1107" s="18">
        <f t="shared" si="388"/>
        <v>0.86707148771736131</v>
      </c>
    </row>
    <row r="1108" spans="1:6" ht="15" customHeight="1" x14ac:dyDescent="0.25">
      <c r="A1108" s="15">
        <v>2</v>
      </c>
      <c r="B1108" s="15" t="s">
        <v>707</v>
      </c>
      <c r="C1108" s="20">
        <v>33</v>
      </c>
      <c r="D1108" s="20">
        <v>22647</v>
      </c>
      <c r="E1108" s="16">
        <v>19854</v>
      </c>
      <c r="F1108" s="18">
        <f t="shared" si="388"/>
        <v>0.87667240694131676</v>
      </c>
    </row>
    <row r="1109" spans="1:6" ht="15" customHeight="1" x14ac:dyDescent="0.25">
      <c r="A1109" s="15">
        <v>3</v>
      </c>
      <c r="B1109" s="15" t="s">
        <v>708</v>
      </c>
      <c r="C1109" s="20">
        <v>43</v>
      </c>
      <c r="D1109" s="20">
        <v>32011</v>
      </c>
      <c r="E1109" s="16">
        <v>28110</v>
      </c>
      <c r="F1109" s="18">
        <f t="shared" si="388"/>
        <v>0.87813564087344975</v>
      </c>
    </row>
    <row r="1110" spans="1:6" ht="15" customHeight="1" x14ac:dyDescent="0.25">
      <c r="A1110" s="15">
        <v>4</v>
      </c>
      <c r="B1110" s="15" t="s">
        <v>709</v>
      </c>
      <c r="C1110" s="20">
        <v>28</v>
      </c>
      <c r="D1110" s="20">
        <v>15603</v>
      </c>
      <c r="E1110" s="16">
        <v>13621</v>
      </c>
      <c r="F1110" s="18">
        <f t="shared" si="388"/>
        <v>0.87297314618983524</v>
      </c>
    </row>
    <row r="1111" spans="1:6" ht="15" customHeight="1" x14ac:dyDescent="0.25">
      <c r="A1111" s="15">
        <v>5</v>
      </c>
      <c r="B1111" s="15" t="s">
        <v>710</v>
      </c>
      <c r="C1111" s="20">
        <v>67</v>
      </c>
      <c r="D1111" s="20">
        <v>46777</v>
      </c>
      <c r="E1111" s="16">
        <v>39159</v>
      </c>
      <c r="F1111" s="18">
        <f t="shared" si="388"/>
        <v>0.83714218526198769</v>
      </c>
    </row>
    <row r="1112" spans="1:6" ht="15" customHeight="1" x14ac:dyDescent="0.25">
      <c r="A1112" s="15">
        <v>6</v>
      </c>
      <c r="B1112" s="15" t="s">
        <v>378</v>
      </c>
      <c r="C1112" s="20">
        <v>47</v>
      </c>
      <c r="D1112" s="20">
        <v>28927</v>
      </c>
      <c r="E1112" s="16">
        <v>24659</v>
      </c>
      <c r="F1112" s="18">
        <f t="shared" si="388"/>
        <v>0.85245618280499191</v>
      </c>
    </row>
    <row r="1113" spans="1:6" ht="15" customHeight="1" x14ac:dyDescent="0.25">
      <c r="A1113" s="15">
        <v>7</v>
      </c>
      <c r="B1113" s="15" t="s">
        <v>711</v>
      </c>
      <c r="C1113" s="20">
        <v>48</v>
      </c>
      <c r="D1113" s="20">
        <v>36518</v>
      </c>
      <c r="E1113" s="16">
        <v>31846</v>
      </c>
      <c r="F1113" s="18">
        <f t="shared" si="388"/>
        <v>0.87206309217372258</v>
      </c>
    </row>
    <row r="1114" spans="1:6" ht="15" customHeight="1" x14ac:dyDescent="0.25">
      <c r="A1114" s="15">
        <v>8</v>
      </c>
      <c r="B1114" s="15" t="s">
        <v>394</v>
      </c>
      <c r="C1114" s="20">
        <v>37</v>
      </c>
      <c r="D1114" s="20">
        <v>22444</v>
      </c>
      <c r="E1114" s="16">
        <v>19646</v>
      </c>
      <c r="F1114" s="18">
        <f t="shared" si="388"/>
        <v>0.8753341650329709</v>
      </c>
    </row>
    <row r="1115" spans="1:6" ht="15" customHeight="1" x14ac:dyDescent="0.25">
      <c r="A1115" s="15">
        <v>9</v>
      </c>
      <c r="B1115" s="15" t="s">
        <v>712</v>
      </c>
      <c r="C1115" s="20">
        <v>41</v>
      </c>
      <c r="D1115" s="20">
        <v>26603</v>
      </c>
      <c r="E1115" s="16">
        <v>22875</v>
      </c>
      <c r="F1115" s="18">
        <f t="shared" si="388"/>
        <v>0.85986542871104765</v>
      </c>
    </row>
    <row r="1116" spans="1:6" ht="15" customHeight="1" x14ac:dyDescent="0.25">
      <c r="A1116" s="15">
        <v>10</v>
      </c>
      <c r="B1116" s="15" t="s">
        <v>318</v>
      </c>
      <c r="C1116" s="20">
        <v>18</v>
      </c>
      <c r="D1116" s="20">
        <v>12515</v>
      </c>
      <c r="E1116" s="16">
        <v>10964</v>
      </c>
      <c r="F1116" s="18">
        <f t="shared" si="388"/>
        <v>0.87606871753895321</v>
      </c>
    </row>
    <row r="1117" spans="1:6" ht="15" customHeight="1" x14ac:dyDescent="0.25">
      <c r="A1117" s="15">
        <v>11</v>
      </c>
      <c r="B1117" s="15" t="s">
        <v>713</v>
      </c>
      <c r="C1117" s="20">
        <v>57</v>
      </c>
      <c r="D1117" s="20">
        <v>38464</v>
      </c>
      <c r="E1117" s="16">
        <v>32878</v>
      </c>
      <c r="F1117" s="18">
        <f t="shared" si="388"/>
        <v>0.8547732945091514</v>
      </c>
    </row>
    <row r="1118" spans="1:6" ht="23.1" customHeight="1" x14ac:dyDescent="0.25">
      <c r="A1118" s="22"/>
      <c r="B1118" s="22" t="s">
        <v>22</v>
      </c>
      <c r="C1118" s="21"/>
      <c r="D1118" s="21"/>
      <c r="E1118" s="21"/>
      <c r="F1118" s="18"/>
    </row>
    <row r="1119" spans="1:6" ht="15" customHeight="1" x14ac:dyDescent="0.25">
      <c r="A1119" s="15"/>
      <c r="B1119" s="24" t="s">
        <v>1421</v>
      </c>
      <c r="C1119" s="36">
        <v>417</v>
      </c>
      <c r="D1119" s="20">
        <v>330621</v>
      </c>
      <c r="E1119" s="16">
        <v>265848</v>
      </c>
      <c r="F1119" s="18">
        <f t="shared" ref="F1119:F1158" si="393">SUM(E1119/D1119)</f>
        <v>0.80408685473699493</v>
      </c>
    </row>
    <row r="1120" spans="1:6" ht="23.1" customHeight="1" x14ac:dyDescent="0.25">
      <c r="A1120" s="22" t="s">
        <v>1606</v>
      </c>
      <c r="B1120" s="24"/>
      <c r="C1120" s="65">
        <f>SUM(C1121+C1161+C1190)</f>
        <v>3922</v>
      </c>
      <c r="D1120" s="65">
        <f t="shared" ref="D1120:E1120" si="394">SUM(D1121+D1161+D1190)</f>
        <v>3059321</v>
      </c>
      <c r="E1120" s="65">
        <f t="shared" si="394"/>
        <v>2585766</v>
      </c>
      <c r="F1120" s="13">
        <f t="shared" si="393"/>
        <v>0.84520911666346876</v>
      </c>
    </row>
    <row r="1121" spans="1:6" ht="23.1" customHeight="1" x14ac:dyDescent="0.25">
      <c r="A1121" s="22"/>
      <c r="B1121" s="22" t="s">
        <v>714</v>
      </c>
      <c r="C1121" s="14">
        <f t="shared" ref="C1121" si="395">SUM(C1122+C1128+C1132+C1138+C1145+C1152+C1160)</f>
        <v>2484</v>
      </c>
      <c r="D1121" s="14">
        <f t="shared" ref="D1121:E1121" si="396">SUM(D1122+D1128+D1132+D1138+D1145+D1152+D1160)</f>
        <v>2001732</v>
      </c>
      <c r="E1121" s="14">
        <f t="shared" si="396"/>
        <v>1679045</v>
      </c>
      <c r="F1121" s="13">
        <f t="shared" si="393"/>
        <v>0.8387961025751699</v>
      </c>
    </row>
    <row r="1122" spans="1:6" ht="23.1" customHeight="1" x14ac:dyDescent="0.25">
      <c r="A1122" s="22"/>
      <c r="B1122" s="22" t="s">
        <v>6</v>
      </c>
      <c r="C1122" s="14">
        <f t="shared" ref="C1122" si="397">SUM(C1123:C1127)</f>
        <v>335</v>
      </c>
      <c r="D1122" s="14">
        <f t="shared" ref="D1122:E1122" si="398">SUM(D1123:D1127)</f>
        <v>257408</v>
      </c>
      <c r="E1122" s="14">
        <f t="shared" si="398"/>
        <v>213397</v>
      </c>
      <c r="F1122" s="13">
        <f t="shared" si="393"/>
        <v>0.82902240800596716</v>
      </c>
    </row>
    <row r="1123" spans="1:6" ht="15" customHeight="1" x14ac:dyDescent="0.25">
      <c r="A1123" s="15">
        <v>1</v>
      </c>
      <c r="B1123" s="15" t="s">
        <v>539</v>
      </c>
      <c r="C1123" s="19">
        <v>76</v>
      </c>
      <c r="D1123" s="19">
        <v>53559</v>
      </c>
      <c r="E1123" s="16">
        <v>43164</v>
      </c>
      <c r="F1123" s="18">
        <f t="shared" si="393"/>
        <v>0.80591497227356745</v>
      </c>
    </row>
    <row r="1124" spans="1:6" ht="15" customHeight="1" x14ac:dyDescent="0.25">
      <c r="A1124" s="15">
        <v>2</v>
      </c>
      <c r="B1124" s="15" t="s">
        <v>715</v>
      </c>
      <c r="C1124" s="19">
        <v>26</v>
      </c>
      <c r="D1124" s="19">
        <v>20020</v>
      </c>
      <c r="E1124" s="16">
        <v>17432</v>
      </c>
      <c r="F1124" s="18">
        <f t="shared" si="393"/>
        <v>0.87072927072927075</v>
      </c>
    </row>
    <row r="1125" spans="1:6" ht="15" customHeight="1" x14ac:dyDescent="0.25">
      <c r="A1125" s="15">
        <v>3</v>
      </c>
      <c r="B1125" s="15" t="s">
        <v>716</v>
      </c>
      <c r="C1125" s="19">
        <v>45</v>
      </c>
      <c r="D1125" s="19">
        <v>32623</v>
      </c>
      <c r="E1125" s="16">
        <v>25886</v>
      </c>
      <c r="F1125" s="18">
        <f t="shared" si="393"/>
        <v>0.79348925604634768</v>
      </c>
    </row>
    <row r="1126" spans="1:6" ht="15" customHeight="1" x14ac:dyDescent="0.25">
      <c r="A1126" s="15"/>
      <c r="B1126" s="24" t="s">
        <v>1422</v>
      </c>
      <c r="C1126" s="19">
        <v>82</v>
      </c>
      <c r="D1126" s="19">
        <v>64099</v>
      </c>
      <c r="E1126" s="16">
        <v>51974</v>
      </c>
      <c r="F1126" s="18">
        <f t="shared" si="393"/>
        <v>0.81083948267523676</v>
      </c>
    </row>
    <row r="1127" spans="1:6" ht="15" customHeight="1" x14ac:dyDescent="0.25">
      <c r="A1127" s="15"/>
      <c r="B1127" s="24" t="s">
        <v>1354</v>
      </c>
      <c r="C1127" s="19">
        <v>106</v>
      </c>
      <c r="D1127" s="19">
        <v>87107</v>
      </c>
      <c r="E1127" s="16">
        <v>74941</v>
      </c>
      <c r="F1127" s="18">
        <f t="shared" si="393"/>
        <v>0.86033269427256132</v>
      </c>
    </row>
    <row r="1128" spans="1:6" ht="23.1" customHeight="1" x14ac:dyDescent="0.25">
      <c r="A1128" s="22"/>
      <c r="B1128" s="22" t="s">
        <v>7</v>
      </c>
      <c r="C1128" s="14">
        <f t="shared" ref="C1128" si="399">SUM(C1129:C1131)</f>
        <v>262</v>
      </c>
      <c r="D1128" s="14">
        <f t="shared" ref="D1128:E1128" si="400">SUM(D1129:D1131)</f>
        <v>212207</v>
      </c>
      <c r="E1128" s="14">
        <f t="shared" si="400"/>
        <v>166298</v>
      </c>
      <c r="F1128" s="13">
        <f t="shared" si="393"/>
        <v>0.78365935148227905</v>
      </c>
    </row>
    <row r="1129" spans="1:6" ht="15" customHeight="1" x14ac:dyDescent="0.25">
      <c r="A1129" s="15">
        <v>1</v>
      </c>
      <c r="B1129" s="15" t="s">
        <v>717</v>
      </c>
      <c r="C1129" s="19">
        <v>41</v>
      </c>
      <c r="D1129" s="19">
        <v>33709</v>
      </c>
      <c r="E1129" s="16">
        <v>28764</v>
      </c>
      <c r="F1129" s="18">
        <f t="shared" si="393"/>
        <v>0.85330327212317181</v>
      </c>
    </row>
    <row r="1130" spans="1:6" ht="15" customHeight="1" x14ac:dyDescent="0.25">
      <c r="A1130" s="15"/>
      <c r="B1130" s="24" t="s">
        <v>1423</v>
      </c>
      <c r="C1130" s="19">
        <v>116</v>
      </c>
      <c r="D1130" s="19">
        <v>93336</v>
      </c>
      <c r="E1130" s="16">
        <v>72037</v>
      </c>
      <c r="F1130" s="18">
        <f t="shared" si="393"/>
        <v>0.77180294848718611</v>
      </c>
    </row>
    <row r="1131" spans="1:6" ht="15" customHeight="1" x14ac:dyDescent="0.25">
      <c r="A1131" s="15"/>
      <c r="B1131" s="24" t="s">
        <v>1424</v>
      </c>
      <c r="C1131" s="19">
        <v>105</v>
      </c>
      <c r="D1131" s="19">
        <v>85162</v>
      </c>
      <c r="E1131" s="16">
        <v>65497</v>
      </c>
      <c r="F1131" s="18">
        <f t="shared" si="393"/>
        <v>0.76908715154646434</v>
      </c>
    </row>
    <row r="1132" spans="1:6" ht="23.1" customHeight="1" x14ac:dyDescent="0.25">
      <c r="A1132" s="22"/>
      <c r="B1132" s="22" t="s">
        <v>8</v>
      </c>
      <c r="C1132" s="14">
        <f t="shared" ref="C1132" si="401">SUM(C1133:C1137)</f>
        <v>405</v>
      </c>
      <c r="D1132" s="14">
        <f t="shared" ref="D1132:E1132" si="402">SUM(D1133:D1137)</f>
        <v>317481</v>
      </c>
      <c r="E1132" s="14">
        <f t="shared" si="402"/>
        <v>268096</v>
      </c>
      <c r="F1132" s="13">
        <f t="shared" si="393"/>
        <v>0.84444738425291588</v>
      </c>
    </row>
    <row r="1133" spans="1:6" ht="15" customHeight="1" x14ac:dyDescent="0.25">
      <c r="A1133" s="15">
        <v>1</v>
      </c>
      <c r="B1133" s="15" t="s">
        <v>1425</v>
      </c>
      <c r="C1133" s="19">
        <v>54</v>
      </c>
      <c r="D1133" s="19">
        <v>41465</v>
      </c>
      <c r="E1133" s="16">
        <v>35326</v>
      </c>
      <c r="F1133" s="18">
        <f t="shared" si="393"/>
        <v>0.85194742553961167</v>
      </c>
    </row>
    <row r="1134" spans="1:6" ht="15" customHeight="1" x14ac:dyDescent="0.25">
      <c r="A1134" s="15">
        <v>2</v>
      </c>
      <c r="B1134" s="15" t="s">
        <v>718</v>
      </c>
      <c r="C1134" s="19">
        <v>77</v>
      </c>
      <c r="D1134" s="19">
        <v>56755</v>
      </c>
      <c r="E1134" s="16">
        <v>47215</v>
      </c>
      <c r="F1134" s="18">
        <f t="shared" si="393"/>
        <v>0.83190908290018506</v>
      </c>
    </row>
    <row r="1135" spans="1:6" ht="15" customHeight="1" x14ac:dyDescent="0.25">
      <c r="A1135" s="15"/>
      <c r="B1135" s="24" t="s">
        <v>719</v>
      </c>
      <c r="C1135" s="19">
        <v>91</v>
      </c>
      <c r="D1135" s="19">
        <v>68472</v>
      </c>
      <c r="E1135" s="16">
        <v>60124</v>
      </c>
      <c r="F1135" s="18">
        <f t="shared" si="393"/>
        <v>0.87808155158312884</v>
      </c>
    </row>
    <row r="1136" spans="1:6" ht="15" customHeight="1" x14ac:dyDescent="0.25">
      <c r="A1136" s="15"/>
      <c r="B1136" s="24" t="s">
        <v>720</v>
      </c>
      <c r="C1136" s="19">
        <v>77</v>
      </c>
      <c r="D1136" s="19">
        <v>60576</v>
      </c>
      <c r="E1136" s="16">
        <v>47134</v>
      </c>
      <c r="F1136" s="18">
        <f t="shared" si="393"/>
        <v>0.77809693608029584</v>
      </c>
    </row>
    <row r="1137" spans="1:6" ht="15" customHeight="1" x14ac:dyDescent="0.25">
      <c r="A1137" s="15"/>
      <c r="B1137" s="24" t="s">
        <v>1426</v>
      </c>
      <c r="C1137" s="19">
        <v>106</v>
      </c>
      <c r="D1137" s="19">
        <v>90213</v>
      </c>
      <c r="E1137" s="16">
        <v>78297</v>
      </c>
      <c r="F1137" s="18">
        <f t="shared" si="393"/>
        <v>0.8679126068305012</v>
      </c>
    </row>
    <row r="1138" spans="1:6" ht="23.1" customHeight="1" x14ac:dyDescent="0.25">
      <c r="A1138" s="22"/>
      <c r="B1138" s="22" t="s">
        <v>9</v>
      </c>
      <c r="C1138" s="14">
        <f t="shared" ref="C1138" si="403">SUM(C1139:C1144)</f>
        <v>308</v>
      </c>
      <c r="D1138" s="14">
        <f t="shared" ref="D1138:E1138" si="404">SUM(D1139:D1144)</f>
        <v>247306</v>
      </c>
      <c r="E1138" s="14">
        <f t="shared" si="404"/>
        <v>213901</v>
      </c>
      <c r="F1138" s="13">
        <f t="shared" si="393"/>
        <v>0.86492442561037741</v>
      </c>
    </row>
    <row r="1139" spans="1:6" ht="15" customHeight="1" x14ac:dyDescent="0.25">
      <c r="A1139" s="15">
        <v>1</v>
      </c>
      <c r="B1139" s="15" t="s">
        <v>661</v>
      </c>
      <c r="C1139" s="19">
        <v>45</v>
      </c>
      <c r="D1139" s="19">
        <v>33931</v>
      </c>
      <c r="E1139" s="16">
        <v>29069</v>
      </c>
      <c r="F1139" s="18">
        <f t="shared" si="393"/>
        <v>0.85670920397276829</v>
      </c>
    </row>
    <row r="1140" spans="1:6" ht="15" customHeight="1" x14ac:dyDescent="0.25">
      <c r="A1140" s="15">
        <v>2</v>
      </c>
      <c r="B1140" s="15" t="s">
        <v>721</v>
      </c>
      <c r="C1140" s="19">
        <v>27</v>
      </c>
      <c r="D1140" s="19">
        <v>18028</v>
      </c>
      <c r="E1140" s="16">
        <v>15737</v>
      </c>
      <c r="F1140" s="18">
        <f t="shared" si="393"/>
        <v>0.87291990237408479</v>
      </c>
    </row>
    <row r="1141" spans="1:6" ht="15" customHeight="1" x14ac:dyDescent="0.25">
      <c r="A1141" s="23">
        <v>3</v>
      </c>
      <c r="B1141" s="15" t="s">
        <v>704</v>
      </c>
      <c r="C1141" s="19">
        <v>27</v>
      </c>
      <c r="D1141" s="19">
        <v>19701</v>
      </c>
      <c r="E1141" s="28">
        <v>17418</v>
      </c>
      <c r="F1141" s="18">
        <f t="shared" si="393"/>
        <v>0.88411755748439169</v>
      </c>
    </row>
    <row r="1142" spans="1:6" ht="15" customHeight="1" x14ac:dyDescent="0.25">
      <c r="A1142" s="15">
        <v>4</v>
      </c>
      <c r="B1142" s="15" t="s">
        <v>722</v>
      </c>
      <c r="C1142" s="19">
        <v>34</v>
      </c>
      <c r="D1142" s="19">
        <v>27057</v>
      </c>
      <c r="E1142" s="16">
        <v>22900</v>
      </c>
      <c r="F1142" s="18">
        <f t="shared" si="393"/>
        <v>0.84636138522378679</v>
      </c>
    </row>
    <row r="1143" spans="1:6" ht="15" customHeight="1" x14ac:dyDescent="0.25">
      <c r="A1143" s="15"/>
      <c r="B1143" s="24" t="s">
        <v>1427</v>
      </c>
      <c r="C1143" s="19">
        <v>122</v>
      </c>
      <c r="D1143" s="19">
        <v>103138</v>
      </c>
      <c r="E1143" s="16">
        <v>89078</v>
      </c>
      <c r="F1143" s="18">
        <f t="shared" si="393"/>
        <v>0.86367779092090213</v>
      </c>
    </row>
    <row r="1144" spans="1:6" ht="15" customHeight="1" x14ac:dyDescent="0.25">
      <c r="A1144" s="15"/>
      <c r="B1144" s="24" t="s">
        <v>1428</v>
      </c>
      <c r="C1144" s="19">
        <v>53</v>
      </c>
      <c r="D1144" s="19">
        <v>45451</v>
      </c>
      <c r="E1144" s="16">
        <v>39699</v>
      </c>
      <c r="F1144" s="18">
        <f t="shared" si="393"/>
        <v>0.87344612879804628</v>
      </c>
    </row>
    <row r="1145" spans="1:6" ht="23.1" customHeight="1" x14ac:dyDescent="0.25">
      <c r="A1145" s="22"/>
      <c r="B1145" s="22" t="s">
        <v>10</v>
      </c>
      <c r="C1145" s="14">
        <f t="shared" ref="C1145" si="405">SUM(C1146:C1151)</f>
        <v>383</v>
      </c>
      <c r="D1145" s="14">
        <f t="shared" ref="D1145:E1145" si="406">SUM(D1146:D1151)</f>
        <v>301233</v>
      </c>
      <c r="E1145" s="14">
        <f t="shared" si="406"/>
        <v>255400</v>
      </c>
      <c r="F1145" s="13">
        <f t="shared" si="393"/>
        <v>0.84784867527794094</v>
      </c>
    </row>
    <row r="1146" spans="1:6" ht="15" customHeight="1" x14ac:dyDescent="0.25">
      <c r="A1146" s="15">
        <v>1</v>
      </c>
      <c r="B1146" s="15" t="s">
        <v>723</v>
      </c>
      <c r="C1146" s="19">
        <v>55</v>
      </c>
      <c r="D1146" s="19">
        <v>45508</v>
      </c>
      <c r="E1146" s="16">
        <v>38534</v>
      </c>
      <c r="F1146" s="18">
        <f t="shared" si="393"/>
        <v>0.84675221938999734</v>
      </c>
    </row>
    <row r="1147" spans="1:6" ht="15" customHeight="1" x14ac:dyDescent="0.25">
      <c r="A1147" s="15">
        <v>2</v>
      </c>
      <c r="B1147" s="15" t="s">
        <v>724</v>
      </c>
      <c r="C1147" s="19">
        <v>71</v>
      </c>
      <c r="D1147" s="19">
        <v>55682</v>
      </c>
      <c r="E1147" s="16">
        <v>48960</v>
      </c>
      <c r="F1147" s="18">
        <f t="shared" si="393"/>
        <v>0.87927876153873785</v>
      </c>
    </row>
    <row r="1148" spans="1:6" ht="15" customHeight="1" x14ac:dyDescent="0.25">
      <c r="A1148" s="15">
        <v>3</v>
      </c>
      <c r="B1148" s="15" t="s">
        <v>725</v>
      </c>
      <c r="C1148" s="19">
        <v>57</v>
      </c>
      <c r="D1148" s="19">
        <v>42760</v>
      </c>
      <c r="E1148" s="16">
        <v>37570</v>
      </c>
      <c r="F1148" s="18">
        <f t="shared" si="393"/>
        <v>0.87862488306828812</v>
      </c>
    </row>
    <row r="1149" spans="1:6" ht="15" customHeight="1" x14ac:dyDescent="0.25">
      <c r="A1149" s="15">
        <v>4</v>
      </c>
      <c r="B1149" s="15" t="s">
        <v>726</v>
      </c>
      <c r="C1149" s="19">
        <v>62</v>
      </c>
      <c r="D1149" s="19">
        <v>51604</v>
      </c>
      <c r="E1149" s="16">
        <v>41523</v>
      </c>
      <c r="F1149" s="18">
        <f t="shared" si="393"/>
        <v>0.80464692659483761</v>
      </c>
    </row>
    <row r="1150" spans="1:6" ht="15" customHeight="1" x14ac:dyDescent="0.25">
      <c r="A1150" s="15">
        <v>5</v>
      </c>
      <c r="B1150" s="15" t="s">
        <v>1429</v>
      </c>
      <c r="C1150" s="19">
        <v>40</v>
      </c>
      <c r="D1150" s="19">
        <v>27877</v>
      </c>
      <c r="E1150" s="16">
        <v>23849</v>
      </c>
      <c r="F1150" s="18">
        <f t="shared" si="393"/>
        <v>0.85550812497758011</v>
      </c>
    </row>
    <row r="1151" spans="1:6" ht="15" customHeight="1" x14ac:dyDescent="0.25">
      <c r="A1151" s="15"/>
      <c r="B1151" s="24" t="s">
        <v>1430</v>
      </c>
      <c r="C1151" s="19">
        <v>98</v>
      </c>
      <c r="D1151" s="19">
        <v>77802</v>
      </c>
      <c r="E1151" s="16">
        <v>64964</v>
      </c>
      <c r="F1151" s="18">
        <f t="shared" si="393"/>
        <v>0.83499138839618514</v>
      </c>
    </row>
    <row r="1152" spans="1:6" ht="23.1" customHeight="1" x14ac:dyDescent="0.25">
      <c r="A1152" s="22"/>
      <c r="B1152" s="22" t="s">
        <v>11</v>
      </c>
      <c r="C1152" s="14">
        <f t="shared" ref="C1152" si="407">SUM(C1153:C1158)</f>
        <v>393</v>
      </c>
      <c r="D1152" s="14">
        <f t="shared" ref="D1152:E1152" si="408">SUM(D1153:D1158)</f>
        <v>310217</v>
      </c>
      <c r="E1152" s="14">
        <f t="shared" si="408"/>
        <v>252540</v>
      </c>
      <c r="F1152" s="13">
        <f t="shared" si="393"/>
        <v>0.81407530857432053</v>
      </c>
    </row>
    <row r="1153" spans="1:6" ht="15" customHeight="1" x14ac:dyDescent="0.25">
      <c r="A1153" s="15">
        <v>1</v>
      </c>
      <c r="B1153" s="15" t="s">
        <v>727</v>
      </c>
      <c r="C1153" s="19">
        <v>20</v>
      </c>
      <c r="D1153" s="19">
        <v>16457</v>
      </c>
      <c r="E1153" s="16">
        <v>13782</v>
      </c>
      <c r="F1153" s="18">
        <f t="shared" si="393"/>
        <v>0.83745518624293613</v>
      </c>
    </row>
    <row r="1154" spans="1:6" ht="15" customHeight="1" x14ac:dyDescent="0.25">
      <c r="A1154" s="15">
        <v>2</v>
      </c>
      <c r="B1154" s="15" t="s">
        <v>728</v>
      </c>
      <c r="C1154" s="19">
        <v>83</v>
      </c>
      <c r="D1154" s="19">
        <v>59953</v>
      </c>
      <c r="E1154" s="16">
        <v>45983</v>
      </c>
      <c r="F1154" s="18">
        <f t="shared" si="393"/>
        <v>0.76698413757443329</v>
      </c>
    </row>
    <row r="1155" spans="1:6" ht="15" customHeight="1" x14ac:dyDescent="0.25">
      <c r="A1155" s="15">
        <v>3</v>
      </c>
      <c r="B1155" s="15" t="s">
        <v>1431</v>
      </c>
      <c r="C1155" s="19">
        <v>49</v>
      </c>
      <c r="D1155" s="19">
        <v>38857</v>
      </c>
      <c r="E1155" s="16">
        <v>30437</v>
      </c>
      <c r="F1155" s="18">
        <f t="shared" si="393"/>
        <v>0.78330802686774581</v>
      </c>
    </row>
    <row r="1156" spans="1:6" ht="15" customHeight="1" x14ac:dyDescent="0.25">
      <c r="A1156" s="15">
        <v>4</v>
      </c>
      <c r="B1156" s="15" t="s">
        <v>729</v>
      </c>
      <c r="C1156" s="19">
        <v>47</v>
      </c>
      <c r="D1156" s="19">
        <v>35498</v>
      </c>
      <c r="E1156" s="16">
        <v>29831</v>
      </c>
      <c r="F1156" s="18">
        <f t="shared" si="393"/>
        <v>0.84035720322271679</v>
      </c>
    </row>
    <row r="1157" spans="1:6" ht="15" customHeight="1" x14ac:dyDescent="0.25">
      <c r="A1157" s="15"/>
      <c r="B1157" s="24" t="s">
        <v>730</v>
      </c>
      <c r="C1157" s="19">
        <v>134</v>
      </c>
      <c r="D1157" s="19">
        <v>110588</v>
      </c>
      <c r="E1157" s="16">
        <v>96234</v>
      </c>
      <c r="F1157" s="18">
        <f t="shared" si="393"/>
        <v>0.87020291532535177</v>
      </c>
    </row>
    <row r="1158" spans="1:6" ht="15" customHeight="1" x14ac:dyDescent="0.25">
      <c r="A1158" s="15"/>
      <c r="B1158" s="24" t="s">
        <v>1432</v>
      </c>
      <c r="C1158" s="19">
        <v>60</v>
      </c>
      <c r="D1158" s="19">
        <v>48864</v>
      </c>
      <c r="E1158" s="16">
        <v>36273</v>
      </c>
      <c r="F1158" s="18">
        <f t="shared" si="393"/>
        <v>0.74232563850687627</v>
      </c>
    </row>
    <row r="1159" spans="1:6" ht="23.1" customHeight="1" x14ac:dyDescent="0.25">
      <c r="A1159" s="22"/>
      <c r="B1159" s="22" t="s">
        <v>22</v>
      </c>
      <c r="C1159" s="21"/>
      <c r="D1159" s="21"/>
      <c r="E1159" s="21"/>
      <c r="F1159" s="18"/>
    </row>
    <row r="1160" spans="1:6" ht="15" customHeight="1" x14ac:dyDescent="0.25">
      <c r="A1160" s="15"/>
      <c r="B1160" s="24" t="s">
        <v>1433</v>
      </c>
      <c r="C1160" s="19">
        <v>398</v>
      </c>
      <c r="D1160" s="19">
        <v>355880</v>
      </c>
      <c r="E1160" s="16">
        <v>309413</v>
      </c>
      <c r="F1160" s="18">
        <f t="shared" ref="F1160:F1230" si="409">SUM(E1160/D1160)</f>
        <v>0.8694307069798809</v>
      </c>
    </row>
    <row r="1161" spans="1:6" ht="23.1" customHeight="1" x14ac:dyDescent="0.25">
      <c r="A1161" s="22"/>
      <c r="B1161" s="22" t="s">
        <v>809</v>
      </c>
      <c r="C1161" s="14">
        <f t="shared" ref="C1161" si="410">SUM(C1162+C1172+C1181)</f>
        <v>1289</v>
      </c>
      <c r="D1161" s="14">
        <f t="shared" ref="D1161:E1161" si="411">SUM(D1162+D1172+D1181)</f>
        <v>976185</v>
      </c>
      <c r="E1161" s="14">
        <f t="shared" si="411"/>
        <v>831963</v>
      </c>
      <c r="F1161" s="13">
        <f t="shared" ref="F1161:F1190" si="412">SUM(E1161/D1161)</f>
        <v>0.85225956145607651</v>
      </c>
    </row>
    <row r="1162" spans="1:6" ht="23.1" customHeight="1" x14ac:dyDescent="0.25">
      <c r="A1162" s="22"/>
      <c r="B1162" s="22" t="s">
        <v>6</v>
      </c>
      <c r="C1162" s="14">
        <f t="shared" ref="C1162" si="413">SUM(C1163:C1171)</f>
        <v>407</v>
      </c>
      <c r="D1162" s="14">
        <f t="shared" ref="D1162:E1162" si="414">SUM(D1163:D1171)</f>
        <v>292029</v>
      </c>
      <c r="E1162" s="14">
        <f t="shared" si="414"/>
        <v>253171</v>
      </c>
      <c r="F1162" s="13">
        <f t="shared" si="412"/>
        <v>0.86693787260854227</v>
      </c>
    </row>
    <row r="1163" spans="1:6" ht="15" customHeight="1" x14ac:dyDescent="0.25">
      <c r="A1163" s="15">
        <v>1</v>
      </c>
      <c r="B1163" s="15" t="s">
        <v>810</v>
      </c>
      <c r="C1163" s="19">
        <v>44</v>
      </c>
      <c r="D1163" s="19">
        <v>32173</v>
      </c>
      <c r="E1163" s="16">
        <v>27600</v>
      </c>
      <c r="F1163" s="18">
        <f t="shared" si="412"/>
        <v>0.85786218257545144</v>
      </c>
    </row>
    <row r="1164" spans="1:6" ht="15" customHeight="1" x14ac:dyDescent="0.25">
      <c r="A1164" s="15">
        <v>2</v>
      </c>
      <c r="B1164" s="15" t="s">
        <v>1443</v>
      </c>
      <c r="C1164" s="19">
        <v>40</v>
      </c>
      <c r="D1164" s="19">
        <v>26822</v>
      </c>
      <c r="E1164" s="16">
        <v>23579</v>
      </c>
      <c r="F1164" s="18">
        <f t="shared" si="412"/>
        <v>0.87909179032137796</v>
      </c>
    </row>
    <row r="1165" spans="1:6" ht="15" customHeight="1" x14ac:dyDescent="0.25">
      <c r="A1165" s="15">
        <v>3</v>
      </c>
      <c r="B1165" s="15" t="s">
        <v>811</v>
      </c>
      <c r="C1165" s="19">
        <v>34</v>
      </c>
      <c r="D1165" s="19">
        <v>22038</v>
      </c>
      <c r="E1165" s="16">
        <v>19793</v>
      </c>
      <c r="F1165" s="18">
        <f t="shared" si="412"/>
        <v>0.89813050186042287</v>
      </c>
    </row>
    <row r="1166" spans="1:6" ht="15" customHeight="1" x14ac:dyDescent="0.25">
      <c r="A1166" s="15">
        <v>4</v>
      </c>
      <c r="B1166" s="15" t="s">
        <v>812</v>
      </c>
      <c r="C1166" s="19">
        <v>41</v>
      </c>
      <c r="D1166" s="19">
        <v>27347</v>
      </c>
      <c r="E1166" s="16">
        <v>23437</v>
      </c>
      <c r="F1166" s="18">
        <f t="shared" si="412"/>
        <v>0.8570227081581161</v>
      </c>
    </row>
    <row r="1167" spans="1:6" ht="15" customHeight="1" x14ac:dyDescent="0.25">
      <c r="A1167" s="15">
        <v>5</v>
      </c>
      <c r="B1167" s="15" t="s">
        <v>813</v>
      </c>
      <c r="C1167" s="19">
        <v>43</v>
      </c>
      <c r="D1167" s="19">
        <v>30106</v>
      </c>
      <c r="E1167" s="16">
        <v>26345</v>
      </c>
      <c r="F1167" s="18">
        <f t="shared" si="412"/>
        <v>0.87507473593303664</v>
      </c>
    </row>
    <row r="1168" spans="1:6" ht="15" customHeight="1" x14ac:dyDescent="0.25">
      <c r="A1168" s="15">
        <v>6</v>
      </c>
      <c r="B1168" s="15" t="s">
        <v>814</v>
      </c>
      <c r="C1168" s="19">
        <v>41</v>
      </c>
      <c r="D1168" s="19">
        <v>25498</v>
      </c>
      <c r="E1168" s="16">
        <v>22041</v>
      </c>
      <c r="F1168" s="18">
        <f t="shared" si="412"/>
        <v>0.86442073888148085</v>
      </c>
    </row>
    <row r="1169" spans="1:6" ht="15" customHeight="1" x14ac:dyDescent="0.25">
      <c r="A1169" s="15">
        <v>7</v>
      </c>
      <c r="B1169" s="15" t="s">
        <v>815</v>
      </c>
      <c r="C1169" s="19">
        <v>34</v>
      </c>
      <c r="D1169" s="19">
        <v>25245</v>
      </c>
      <c r="E1169" s="16">
        <v>21617</v>
      </c>
      <c r="F1169" s="18">
        <f t="shared" si="412"/>
        <v>0.85628837393543278</v>
      </c>
    </row>
    <row r="1170" spans="1:6" ht="15" customHeight="1" x14ac:dyDescent="0.25">
      <c r="A1170" s="15"/>
      <c r="B1170" s="24" t="s">
        <v>1612</v>
      </c>
      <c r="C1170" s="19">
        <v>47</v>
      </c>
      <c r="D1170" s="19">
        <v>37690</v>
      </c>
      <c r="E1170" s="16">
        <v>32709</v>
      </c>
      <c r="F1170" s="18">
        <f t="shared" si="412"/>
        <v>0.86784292915892813</v>
      </c>
    </row>
    <row r="1171" spans="1:6" ht="15" customHeight="1" x14ac:dyDescent="0.25">
      <c r="A1171" s="15"/>
      <c r="B1171" s="24" t="s">
        <v>1613</v>
      </c>
      <c r="C1171" s="19">
        <v>83</v>
      </c>
      <c r="D1171" s="19">
        <v>65110</v>
      </c>
      <c r="E1171" s="16">
        <v>56050</v>
      </c>
      <c r="F1171" s="18">
        <f t="shared" si="412"/>
        <v>0.86085086776224851</v>
      </c>
    </row>
    <row r="1172" spans="1:6" ht="23.1" customHeight="1" x14ac:dyDescent="0.25">
      <c r="A1172" s="22"/>
      <c r="B1172" s="22" t="s">
        <v>7</v>
      </c>
      <c r="C1172" s="14">
        <f t="shared" ref="C1172" si="415">SUM(C1173:C1180)</f>
        <v>478</v>
      </c>
      <c r="D1172" s="14">
        <f t="shared" ref="D1172:E1172" si="416">SUM(D1173:D1180)</f>
        <v>375249</v>
      </c>
      <c r="E1172" s="14">
        <f t="shared" si="416"/>
        <v>322403</v>
      </c>
      <c r="F1172" s="13">
        <f t="shared" si="412"/>
        <v>0.85917084389298837</v>
      </c>
    </row>
    <row r="1173" spans="1:6" ht="15" customHeight="1" x14ac:dyDescent="0.25">
      <c r="A1173" s="15">
        <v>1</v>
      </c>
      <c r="B1173" s="15" t="s">
        <v>1444</v>
      </c>
      <c r="C1173" s="19">
        <v>22</v>
      </c>
      <c r="D1173" s="19">
        <v>18847</v>
      </c>
      <c r="E1173" s="16">
        <v>16758</v>
      </c>
      <c r="F1173" s="18">
        <f t="shared" si="412"/>
        <v>0.88916007852708656</v>
      </c>
    </row>
    <row r="1174" spans="1:6" ht="15" customHeight="1" x14ac:dyDescent="0.25">
      <c r="A1174" s="15">
        <v>2</v>
      </c>
      <c r="B1174" s="15" t="s">
        <v>816</v>
      </c>
      <c r="C1174" s="19">
        <v>70</v>
      </c>
      <c r="D1174" s="19">
        <v>54133</v>
      </c>
      <c r="E1174" s="16">
        <v>46158</v>
      </c>
      <c r="F1174" s="18">
        <f t="shared" si="412"/>
        <v>0.85267766427133174</v>
      </c>
    </row>
    <row r="1175" spans="1:6" ht="15" customHeight="1" x14ac:dyDescent="0.25">
      <c r="A1175" s="15">
        <v>3</v>
      </c>
      <c r="B1175" s="15" t="s">
        <v>225</v>
      </c>
      <c r="C1175" s="19">
        <v>41</v>
      </c>
      <c r="D1175" s="19">
        <v>30666</v>
      </c>
      <c r="E1175" s="16">
        <v>25871</v>
      </c>
      <c r="F1175" s="18">
        <f t="shared" si="412"/>
        <v>0.84363790517185155</v>
      </c>
    </row>
    <row r="1176" spans="1:6" ht="15" customHeight="1" x14ac:dyDescent="0.25">
      <c r="A1176" s="15">
        <v>4</v>
      </c>
      <c r="B1176" s="15" t="s">
        <v>374</v>
      </c>
      <c r="C1176" s="19">
        <v>22</v>
      </c>
      <c r="D1176" s="19">
        <v>16693</v>
      </c>
      <c r="E1176" s="16">
        <v>15270</v>
      </c>
      <c r="F1176" s="18">
        <f t="shared" si="412"/>
        <v>0.91475468759360212</v>
      </c>
    </row>
    <row r="1177" spans="1:6" ht="15" customHeight="1" x14ac:dyDescent="0.25">
      <c r="A1177" s="15">
        <v>5</v>
      </c>
      <c r="B1177" s="15" t="s">
        <v>817</v>
      </c>
      <c r="C1177" s="19">
        <v>47</v>
      </c>
      <c r="D1177" s="19">
        <v>37535</v>
      </c>
      <c r="E1177" s="16">
        <v>31745</v>
      </c>
      <c r="F1177" s="18">
        <f t="shared" si="412"/>
        <v>0.84574397229252696</v>
      </c>
    </row>
    <row r="1178" spans="1:6" ht="15" customHeight="1" x14ac:dyDescent="0.25">
      <c r="A1178" s="15"/>
      <c r="B1178" s="24" t="s">
        <v>1446</v>
      </c>
      <c r="C1178" s="19">
        <v>86</v>
      </c>
      <c r="D1178" s="19">
        <v>62996</v>
      </c>
      <c r="E1178" s="16">
        <v>54424</v>
      </c>
      <c r="F1178" s="18">
        <f t="shared" si="412"/>
        <v>0.86392786843609115</v>
      </c>
    </row>
    <row r="1179" spans="1:6" ht="15" customHeight="1" x14ac:dyDescent="0.25">
      <c r="A1179" s="15"/>
      <c r="B1179" s="24" t="s">
        <v>1445</v>
      </c>
      <c r="C1179" s="19">
        <v>115</v>
      </c>
      <c r="D1179" s="19">
        <v>94558</v>
      </c>
      <c r="E1179" s="16">
        <v>79838</v>
      </c>
      <c r="F1179" s="18">
        <f t="shared" si="412"/>
        <v>0.84432834873834051</v>
      </c>
    </row>
    <row r="1180" spans="1:6" ht="15" customHeight="1" x14ac:dyDescent="0.25">
      <c r="A1180" s="15"/>
      <c r="B1180" s="24" t="s">
        <v>1447</v>
      </c>
      <c r="C1180" s="19">
        <v>75</v>
      </c>
      <c r="D1180" s="19">
        <v>59821</v>
      </c>
      <c r="E1180" s="16">
        <v>52339</v>
      </c>
      <c r="F1180" s="18">
        <f t="shared" si="412"/>
        <v>0.87492686514769058</v>
      </c>
    </row>
    <row r="1181" spans="1:6" ht="23.1" customHeight="1" x14ac:dyDescent="0.25">
      <c r="A1181" s="22"/>
      <c r="B1181" s="22" t="s">
        <v>8</v>
      </c>
      <c r="C1181" s="14">
        <f t="shared" ref="C1181" si="417">SUM(C1182:C1189)</f>
        <v>404</v>
      </c>
      <c r="D1181" s="14">
        <f t="shared" ref="D1181:E1181" si="418">SUM(D1182:D1189)</f>
        <v>308907</v>
      </c>
      <c r="E1181" s="14">
        <f t="shared" si="418"/>
        <v>256389</v>
      </c>
      <c r="F1181" s="13">
        <f t="shared" si="412"/>
        <v>0.82998766619079534</v>
      </c>
    </row>
    <row r="1182" spans="1:6" ht="15" customHeight="1" x14ac:dyDescent="0.25">
      <c r="A1182" s="15">
        <v>1</v>
      </c>
      <c r="B1182" s="15" t="s">
        <v>818</v>
      </c>
      <c r="C1182" s="19">
        <v>38</v>
      </c>
      <c r="D1182" s="19">
        <v>26327</v>
      </c>
      <c r="E1182" s="16">
        <v>23117</v>
      </c>
      <c r="F1182" s="18">
        <f t="shared" si="412"/>
        <v>0.87807194135298361</v>
      </c>
    </row>
    <row r="1183" spans="1:6" ht="15" customHeight="1" x14ac:dyDescent="0.25">
      <c r="A1183" s="15">
        <v>2</v>
      </c>
      <c r="B1183" s="15" t="s">
        <v>819</v>
      </c>
      <c r="C1183" s="19">
        <v>29</v>
      </c>
      <c r="D1183" s="19">
        <v>22235</v>
      </c>
      <c r="E1183" s="16">
        <v>17746</v>
      </c>
      <c r="F1183" s="18">
        <f t="shared" si="412"/>
        <v>0.79811108612547788</v>
      </c>
    </row>
    <row r="1184" spans="1:6" ht="15" customHeight="1" x14ac:dyDescent="0.25">
      <c r="A1184" s="15">
        <v>3</v>
      </c>
      <c r="B1184" s="15" t="s">
        <v>820</v>
      </c>
      <c r="C1184" s="19">
        <v>33</v>
      </c>
      <c r="D1184" s="19">
        <v>22121</v>
      </c>
      <c r="E1184" s="16">
        <v>19369</v>
      </c>
      <c r="F1184" s="18">
        <f t="shared" si="412"/>
        <v>0.87559332760725106</v>
      </c>
    </row>
    <row r="1185" spans="1:6" ht="15" customHeight="1" x14ac:dyDescent="0.25">
      <c r="A1185" s="15">
        <v>4</v>
      </c>
      <c r="B1185" s="15" t="s">
        <v>125</v>
      </c>
      <c r="C1185" s="19">
        <v>62</v>
      </c>
      <c r="D1185" s="19">
        <v>49144</v>
      </c>
      <c r="E1185" s="16">
        <v>39669</v>
      </c>
      <c r="F1185" s="18">
        <f t="shared" si="412"/>
        <v>0.80719925118020508</v>
      </c>
    </row>
    <row r="1186" spans="1:6" ht="15" customHeight="1" x14ac:dyDescent="0.25">
      <c r="A1186" s="23">
        <v>5</v>
      </c>
      <c r="B1186" s="15" t="s">
        <v>821</v>
      </c>
      <c r="C1186" s="19">
        <v>68</v>
      </c>
      <c r="D1186" s="19">
        <v>55022</v>
      </c>
      <c r="E1186" s="16">
        <v>48626</v>
      </c>
      <c r="F1186" s="18">
        <f t="shared" si="412"/>
        <v>0.88375558867362147</v>
      </c>
    </row>
    <row r="1187" spans="1:6" ht="15" customHeight="1" x14ac:dyDescent="0.25">
      <c r="A1187" s="15">
        <v>6</v>
      </c>
      <c r="B1187" s="15" t="s">
        <v>1448</v>
      </c>
      <c r="C1187" s="19">
        <v>42</v>
      </c>
      <c r="D1187" s="19">
        <v>27828</v>
      </c>
      <c r="E1187" s="16">
        <v>24820</v>
      </c>
      <c r="F1187" s="18">
        <f t="shared" si="412"/>
        <v>0.89190743136409367</v>
      </c>
    </row>
    <row r="1188" spans="1:6" ht="15" customHeight="1" x14ac:dyDescent="0.25">
      <c r="A1188" s="15">
        <v>7</v>
      </c>
      <c r="B1188" s="15" t="s">
        <v>822</v>
      </c>
      <c r="C1188" s="19">
        <v>27</v>
      </c>
      <c r="D1188" s="19">
        <v>20790</v>
      </c>
      <c r="E1188" s="16">
        <v>18474</v>
      </c>
      <c r="F1188" s="18">
        <f t="shared" si="412"/>
        <v>0.88860028860028861</v>
      </c>
    </row>
    <row r="1189" spans="1:6" ht="15" customHeight="1" x14ac:dyDescent="0.25">
      <c r="A1189" s="15"/>
      <c r="B1189" s="24" t="s">
        <v>1449</v>
      </c>
      <c r="C1189" s="19">
        <v>105</v>
      </c>
      <c r="D1189" s="19">
        <v>85440</v>
      </c>
      <c r="E1189" s="16">
        <v>64568</v>
      </c>
      <c r="F1189" s="18">
        <f t="shared" si="412"/>
        <v>0.75571161048689139</v>
      </c>
    </row>
    <row r="1190" spans="1:6" ht="23.1" customHeight="1" x14ac:dyDescent="0.25">
      <c r="A1190" s="22"/>
      <c r="B1190" s="22" t="s">
        <v>823</v>
      </c>
      <c r="C1190" s="14">
        <f t="shared" ref="C1190" si="419">SUM(C1192+C1196)</f>
        <v>149</v>
      </c>
      <c r="D1190" s="14">
        <f t="shared" ref="D1190:E1190" si="420">SUM(D1192+D1196)</f>
        <v>81404</v>
      </c>
      <c r="E1190" s="14">
        <f t="shared" si="420"/>
        <v>74758</v>
      </c>
      <c r="F1190" s="13">
        <f t="shared" si="412"/>
        <v>0.91835782025453294</v>
      </c>
    </row>
    <row r="1191" spans="1:6" ht="23.1" customHeight="1" x14ac:dyDescent="0.25">
      <c r="A1191" s="22"/>
      <c r="B1191" s="22" t="s">
        <v>22</v>
      </c>
      <c r="C1191" s="14"/>
      <c r="D1191" s="14"/>
      <c r="E1191" s="14"/>
      <c r="F1191" s="18"/>
    </row>
    <row r="1192" spans="1:6" ht="23.1" customHeight="1" x14ac:dyDescent="0.25">
      <c r="A1192" s="22"/>
      <c r="B1192" s="22" t="s">
        <v>23</v>
      </c>
      <c r="C1192" s="14">
        <f t="shared" ref="C1192" si="421">SUM(C1193:C1195)</f>
        <v>83</v>
      </c>
      <c r="D1192" s="14">
        <f t="shared" ref="D1192:E1192" si="422">SUM(D1193:D1195)</f>
        <v>40635</v>
      </c>
      <c r="E1192" s="14">
        <f t="shared" si="422"/>
        <v>37308</v>
      </c>
      <c r="F1192" s="18">
        <f t="shared" ref="F1192:F1199" si="423">SUM(E1192/D1192)</f>
        <v>0.91812476928756004</v>
      </c>
    </row>
    <row r="1193" spans="1:6" ht="15" customHeight="1" x14ac:dyDescent="0.25">
      <c r="A1193" s="15">
        <v>1</v>
      </c>
      <c r="B1193" s="15" t="s">
        <v>824</v>
      </c>
      <c r="C1193" s="20">
        <v>14</v>
      </c>
      <c r="D1193" s="20">
        <v>6035</v>
      </c>
      <c r="E1193" s="16">
        <v>5549</v>
      </c>
      <c r="F1193" s="18">
        <f t="shared" si="423"/>
        <v>0.91946975973487988</v>
      </c>
    </row>
    <row r="1194" spans="1:6" ht="15" customHeight="1" x14ac:dyDescent="0.25">
      <c r="A1194" s="15">
        <v>2</v>
      </c>
      <c r="B1194" s="15" t="s">
        <v>825</v>
      </c>
      <c r="C1194" s="20">
        <v>24</v>
      </c>
      <c r="D1194" s="20">
        <v>11960</v>
      </c>
      <c r="E1194" s="16">
        <v>10899</v>
      </c>
      <c r="F1194" s="18">
        <f t="shared" si="423"/>
        <v>0.91128762541806019</v>
      </c>
    </row>
    <row r="1195" spans="1:6" ht="15" customHeight="1" x14ac:dyDescent="0.25">
      <c r="A1195" s="15">
        <v>3</v>
      </c>
      <c r="B1195" s="15" t="s">
        <v>1450</v>
      </c>
      <c r="C1195" s="20">
        <v>45</v>
      </c>
      <c r="D1195" s="20">
        <v>22640</v>
      </c>
      <c r="E1195" s="16">
        <v>20860</v>
      </c>
      <c r="F1195" s="18">
        <f t="shared" si="423"/>
        <v>0.92137809187279152</v>
      </c>
    </row>
    <row r="1196" spans="1:6" ht="23.1" customHeight="1" x14ac:dyDescent="0.25">
      <c r="A1196" s="22"/>
      <c r="B1196" s="22" t="s">
        <v>39</v>
      </c>
      <c r="C1196" s="14">
        <f t="shared" ref="C1196" si="424">SUM(C1197:C1199)</f>
        <v>66</v>
      </c>
      <c r="D1196" s="14">
        <f t="shared" ref="D1196:E1196" si="425">SUM(D1197:D1199)</f>
        <v>40769</v>
      </c>
      <c r="E1196" s="14">
        <f t="shared" si="425"/>
        <v>37450</v>
      </c>
      <c r="F1196" s="13">
        <f t="shared" si="423"/>
        <v>0.91859010522701068</v>
      </c>
    </row>
    <row r="1197" spans="1:6" ht="15" customHeight="1" x14ac:dyDescent="0.25">
      <c r="A1197" s="15">
        <v>1</v>
      </c>
      <c r="B1197" s="15" t="s">
        <v>826</v>
      </c>
      <c r="C1197" s="20">
        <v>24</v>
      </c>
      <c r="D1197" s="20">
        <v>16597</v>
      </c>
      <c r="E1197" s="16">
        <v>15316</v>
      </c>
      <c r="F1197" s="18">
        <f t="shared" si="423"/>
        <v>0.9228173766343315</v>
      </c>
    </row>
    <row r="1198" spans="1:6" ht="15" customHeight="1" x14ac:dyDescent="0.25">
      <c r="A1198" s="15">
        <v>2</v>
      </c>
      <c r="B1198" s="15" t="s">
        <v>827</v>
      </c>
      <c r="C1198" s="20">
        <v>23</v>
      </c>
      <c r="D1198" s="20">
        <v>11532</v>
      </c>
      <c r="E1198" s="16">
        <v>10534</v>
      </c>
      <c r="F1198" s="18">
        <f t="shared" si="423"/>
        <v>0.91345820326049254</v>
      </c>
    </row>
    <row r="1199" spans="1:6" ht="15" customHeight="1" x14ac:dyDescent="0.25">
      <c r="A1199" s="15">
        <v>3</v>
      </c>
      <c r="B1199" s="15" t="s">
        <v>47</v>
      </c>
      <c r="C1199" s="20">
        <v>19</v>
      </c>
      <c r="D1199" s="20">
        <v>12640</v>
      </c>
      <c r="E1199" s="16">
        <v>11600</v>
      </c>
      <c r="F1199" s="18">
        <f t="shared" si="423"/>
        <v>0.91772151898734178</v>
      </c>
    </row>
    <row r="1200" spans="1:6" ht="23.1" customHeight="1" x14ac:dyDescent="0.25">
      <c r="A1200" s="140" t="s">
        <v>731</v>
      </c>
      <c r="B1200" s="140"/>
      <c r="C1200" s="14">
        <f>SUM(C1201+C1253)</f>
        <v>5662</v>
      </c>
      <c r="D1200" s="14">
        <f t="shared" ref="D1200:E1200" si="426">SUM(D1201+D1253)</f>
        <v>4389344</v>
      </c>
      <c r="E1200" s="14">
        <f t="shared" si="426"/>
        <v>3797086</v>
      </c>
      <c r="F1200" s="13">
        <f t="shared" si="409"/>
        <v>0.86506913105921979</v>
      </c>
    </row>
    <row r="1201" spans="1:6" ht="23.1" customHeight="1" x14ac:dyDescent="0.25">
      <c r="A1201" s="22"/>
      <c r="B1201" s="22" t="s">
        <v>732</v>
      </c>
      <c r="C1201" s="14">
        <f t="shared" ref="C1201" si="427">SUM(C1202+C1218+C1233)</f>
        <v>1542</v>
      </c>
      <c r="D1201" s="14">
        <f t="shared" ref="D1201:E1201" si="428">SUM(D1202+D1218+D1233)</f>
        <v>981564</v>
      </c>
      <c r="E1201" s="14">
        <f t="shared" si="428"/>
        <v>862231</v>
      </c>
      <c r="F1201" s="13">
        <f t="shared" si="409"/>
        <v>0.87842565538263429</v>
      </c>
    </row>
    <row r="1202" spans="1:6" ht="23.1" customHeight="1" x14ac:dyDescent="0.25">
      <c r="A1202" s="22"/>
      <c r="B1202" s="22" t="s">
        <v>6</v>
      </c>
      <c r="C1202" s="14">
        <f t="shared" ref="C1202" si="429">SUM(C1203:C1217)</f>
        <v>502</v>
      </c>
      <c r="D1202" s="14">
        <f t="shared" ref="D1202:E1202" si="430">SUM(D1203:D1217)</f>
        <v>327862</v>
      </c>
      <c r="E1202" s="14">
        <f t="shared" si="430"/>
        <v>290941</v>
      </c>
      <c r="F1202" s="13">
        <f t="shared" si="409"/>
        <v>0.88738859642166523</v>
      </c>
    </row>
    <row r="1203" spans="1:6" ht="15" customHeight="1" x14ac:dyDescent="0.25">
      <c r="A1203" s="15">
        <v>1</v>
      </c>
      <c r="B1203" s="15" t="s">
        <v>733</v>
      </c>
      <c r="C1203" s="20">
        <v>12</v>
      </c>
      <c r="D1203" s="20">
        <v>8039</v>
      </c>
      <c r="E1203" s="16">
        <v>7181</v>
      </c>
      <c r="F1203" s="18">
        <f t="shared" si="409"/>
        <v>0.89327030725214573</v>
      </c>
    </row>
    <row r="1204" spans="1:6" ht="15" customHeight="1" x14ac:dyDescent="0.25">
      <c r="A1204" s="15">
        <v>2</v>
      </c>
      <c r="B1204" s="15" t="s">
        <v>734</v>
      </c>
      <c r="C1204" s="20">
        <v>22</v>
      </c>
      <c r="D1204" s="20">
        <v>10559</v>
      </c>
      <c r="E1204" s="16">
        <v>9668</v>
      </c>
      <c r="F1204" s="18">
        <f t="shared" si="409"/>
        <v>0.91561700918647604</v>
      </c>
    </row>
    <row r="1205" spans="1:6" ht="15" customHeight="1" x14ac:dyDescent="0.25">
      <c r="A1205" s="15">
        <v>3</v>
      </c>
      <c r="B1205" s="15" t="s">
        <v>735</v>
      </c>
      <c r="C1205" s="20">
        <v>23</v>
      </c>
      <c r="D1205" s="20">
        <v>14164</v>
      </c>
      <c r="E1205" s="16">
        <v>12555</v>
      </c>
      <c r="F1205" s="18">
        <f t="shared" si="409"/>
        <v>0.88640214628635983</v>
      </c>
    </row>
    <row r="1206" spans="1:6" ht="15" customHeight="1" x14ac:dyDescent="0.25">
      <c r="A1206" s="15">
        <v>4</v>
      </c>
      <c r="B1206" s="15" t="s">
        <v>736</v>
      </c>
      <c r="C1206" s="20">
        <v>32</v>
      </c>
      <c r="D1206" s="20">
        <v>15251</v>
      </c>
      <c r="E1206" s="16">
        <v>13815</v>
      </c>
      <c r="F1206" s="18">
        <f t="shared" si="409"/>
        <v>0.9058422398531244</v>
      </c>
    </row>
    <row r="1207" spans="1:6" ht="15" customHeight="1" x14ac:dyDescent="0.25">
      <c r="A1207" s="15">
        <v>5</v>
      </c>
      <c r="B1207" s="15" t="s">
        <v>737</v>
      </c>
      <c r="C1207" s="20">
        <v>43</v>
      </c>
      <c r="D1207" s="20">
        <v>23428</v>
      </c>
      <c r="E1207" s="16">
        <v>21411</v>
      </c>
      <c r="F1207" s="18">
        <f t="shared" si="409"/>
        <v>0.91390643674235961</v>
      </c>
    </row>
    <row r="1208" spans="1:6" ht="15" customHeight="1" x14ac:dyDescent="0.25">
      <c r="A1208" s="15">
        <v>6</v>
      </c>
      <c r="B1208" s="15" t="s">
        <v>738</v>
      </c>
      <c r="C1208" s="20">
        <v>27</v>
      </c>
      <c r="D1208" s="20">
        <v>16873</v>
      </c>
      <c r="E1208" s="16">
        <v>15444</v>
      </c>
      <c r="F1208" s="18">
        <f t="shared" si="409"/>
        <v>0.91530848100515616</v>
      </c>
    </row>
    <row r="1209" spans="1:6" ht="15" customHeight="1" x14ac:dyDescent="0.25">
      <c r="A1209" s="15">
        <v>7</v>
      </c>
      <c r="B1209" s="15" t="s">
        <v>739</v>
      </c>
      <c r="C1209" s="20">
        <v>10</v>
      </c>
      <c r="D1209" s="20">
        <v>6397</v>
      </c>
      <c r="E1209" s="16">
        <v>5775</v>
      </c>
      <c r="F1209" s="18">
        <f t="shared" si="409"/>
        <v>0.902766921994685</v>
      </c>
    </row>
    <row r="1210" spans="1:6" ht="15" customHeight="1" x14ac:dyDescent="0.25">
      <c r="A1210" s="15">
        <v>8</v>
      </c>
      <c r="B1210" s="15" t="s">
        <v>740</v>
      </c>
      <c r="C1210" s="20">
        <v>18</v>
      </c>
      <c r="D1210" s="20">
        <v>12359</v>
      </c>
      <c r="E1210" s="16">
        <v>11232</v>
      </c>
      <c r="F1210" s="18">
        <f t="shared" si="409"/>
        <v>0.90881139250748444</v>
      </c>
    </row>
    <row r="1211" spans="1:6" ht="15" customHeight="1" x14ac:dyDescent="0.25">
      <c r="A1211" s="15">
        <v>9</v>
      </c>
      <c r="B1211" s="15" t="s">
        <v>741</v>
      </c>
      <c r="C1211" s="20">
        <v>40</v>
      </c>
      <c r="D1211" s="20">
        <v>32679</v>
      </c>
      <c r="E1211" s="16">
        <v>29204</v>
      </c>
      <c r="F1211" s="18">
        <f t="shared" si="409"/>
        <v>0.89366259677468707</v>
      </c>
    </row>
    <row r="1212" spans="1:6" ht="15" customHeight="1" x14ac:dyDescent="0.25">
      <c r="A1212" s="15">
        <v>10</v>
      </c>
      <c r="B1212" s="15" t="s">
        <v>742</v>
      </c>
      <c r="C1212" s="20">
        <v>70</v>
      </c>
      <c r="D1212" s="20">
        <v>30645</v>
      </c>
      <c r="E1212" s="16">
        <v>27349</v>
      </c>
      <c r="F1212" s="18">
        <f t="shared" si="409"/>
        <v>0.89244574971447221</v>
      </c>
    </row>
    <row r="1213" spans="1:6" ht="15" customHeight="1" x14ac:dyDescent="0.25">
      <c r="A1213" s="15">
        <v>11</v>
      </c>
      <c r="B1213" s="15" t="s">
        <v>743</v>
      </c>
      <c r="C1213" s="20">
        <v>27</v>
      </c>
      <c r="D1213" s="20">
        <v>14952</v>
      </c>
      <c r="E1213" s="16">
        <v>13491</v>
      </c>
      <c r="F1213" s="18">
        <f t="shared" si="409"/>
        <v>0.9022873194221509</v>
      </c>
    </row>
    <row r="1214" spans="1:6" ht="15" customHeight="1" x14ac:dyDescent="0.25">
      <c r="A1214" s="15">
        <v>12</v>
      </c>
      <c r="B1214" s="15" t="s">
        <v>744</v>
      </c>
      <c r="C1214" s="20">
        <v>37</v>
      </c>
      <c r="D1214" s="20">
        <v>29494</v>
      </c>
      <c r="E1214" s="16">
        <v>24804</v>
      </c>
      <c r="F1214" s="18">
        <f t="shared" si="409"/>
        <v>0.84098460703871969</v>
      </c>
    </row>
    <row r="1215" spans="1:6" ht="15" customHeight="1" x14ac:dyDescent="0.25">
      <c r="A1215" s="15">
        <v>13</v>
      </c>
      <c r="B1215" s="15" t="s">
        <v>745</v>
      </c>
      <c r="C1215" s="20">
        <v>10</v>
      </c>
      <c r="D1215" s="20">
        <v>5316</v>
      </c>
      <c r="E1215" s="16">
        <v>4846</v>
      </c>
      <c r="F1215" s="18">
        <f t="shared" si="409"/>
        <v>0.91158765989465762</v>
      </c>
    </row>
    <row r="1216" spans="1:6" ht="15" customHeight="1" x14ac:dyDescent="0.25">
      <c r="A1216" s="15">
        <v>14</v>
      </c>
      <c r="B1216" s="15" t="s">
        <v>746</v>
      </c>
      <c r="C1216" s="20">
        <v>49</v>
      </c>
      <c r="D1216" s="20">
        <v>33429</v>
      </c>
      <c r="E1216" s="16">
        <v>29864</v>
      </c>
      <c r="F1216" s="18">
        <f t="shared" si="409"/>
        <v>0.89335606808459722</v>
      </c>
    </row>
    <row r="1217" spans="1:6" ht="15" customHeight="1" x14ac:dyDescent="0.25">
      <c r="A1217" s="15"/>
      <c r="B1217" s="24" t="s">
        <v>1434</v>
      </c>
      <c r="C1217" s="20">
        <v>82</v>
      </c>
      <c r="D1217" s="20">
        <v>74277</v>
      </c>
      <c r="E1217" s="16">
        <v>64302</v>
      </c>
      <c r="F1217" s="18">
        <f t="shared" si="409"/>
        <v>0.86570540005654506</v>
      </c>
    </row>
    <row r="1218" spans="1:6" ht="23.1" customHeight="1" x14ac:dyDescent="0.25">
      <c r="A1218" s="22"/>
      <c r="B1218" s="22" t="s">
        <v>7</v>
      </c>
      <c r="C1218" s="14">
        <f t="shared" ref="C1218" si="431">SUM(C1219:C1232)</f>
        <v>496</v>
      </c>
      <c r="D1218" s="14">
        <f t="shared" ref="D1218:E1218" si="432">SUM(D1219:D1232)</f>
        <v>326937</v>
      </c>
      <c r="E1218" s="14">
        <f t="shared" si="432"/>
        <v>285305</v>
      </c>
      <c r="F1218" s="13">
        <f t="shared" si="409"/>
        <v>0.87266048198888468</v>
      </c>
    </row>
    <row r="1219" spans="1:6" ht="15" customHeight="1" x14ac:dyDescent="0.25">
      <c r="A1219" s="15">
        <v>1</v>
      </c>
      <c r="B1219" s="15" t="s">
        <v>747</v>
      </c>
      <c r="C1219" s="20">
        <v>27</v>
      </c>
      <c r="D1219" s="20">
        <v>19271</v>
      </c>
      <c r="E1219" s="16">
        <v>16830</v>
      </c>
      <c r="F1219" s="18">
        <f t="shared" si="409"/>
        <v>0.87333298739037934</v>
      </c>
    </row>
    <row r="1220" spans="1:6" ht="15" customHeight="1" x14ac:dyDescent="0.25">
      <c r="A1220" s="15">
        <v>2</v>
      </c>
      <c r="B1220" s="15" t="s">
        <v>463</v>
      </c>
      <c r="C1220" s="20">
        <v>38</v>
      </c>
      <c r="D1220" s="20">
        <v>22943</v>
      </c>
      <c r="E1220" s="16">
        <v>19612</v>
      </c>
      <c r="F1220" s="18">
        <f t="shared" si="409"/>
        <v>0.85481410451989714</v>
      </c>
    </row>
    <row r="1221" spans="1:6" ht="15" customHeight="1" x14ac:dyDescent="0.25">
      <c r="A1221" s="15">
        <v>3</v>
      </c>
      <c r="B1221" s="15" t="s">
        <v>748</v>
      </c>
      <c r="C1221" s="20">
        <v>29</v>
      </c>
      <c r="D1221" s="20">
        <v>16673</v>
      </c>
      <c r="E1221" s="16">
        <v>13643</v>
      </c>
      <c r="F1221" s="18">
        <f t="shared" si="409"/>
        <v>0.81826905775805192</v>
      </c>
    </row>
    <row r="1222" spans="1:6" ht="15" customHeight="1" x14ac:dyDescent="0.25">
      <c r="A1222" s="15">
        <v>4</v>
      </c>
      <c r="B1222" s="15" t="s">
        <v>749</v>
      </c>
      <c r="C1222" s="20">
        <v>21</v>
      </c>
      <c r="D1222" s="20">
        <v>14027</v>
      </c>
      <c r="E1222" s="16">
        <v>12584</v>
      </c>
      <c r="F1222" s="18">
        <f t="shared" si="409"/>
        <v>0.89712696941612602</v>
      </c>
    </row>
    <row r="1223" spans="1:6" ht="15" customHeight="1" x14ac:dyDescent="0.25">
      <c r="A1223" s="15">
        <v>5</v>
      </c>
      <c r="B1223" s="15" t="s">
        <v>750</v>
      </c>
      <c r="C1223" s="20">
        <v>25</v>
      </c>
      <c r="D1223" s="20">
        <v>14409</v>
      </c>
      <c r="E1223" s="16">
        <v>12808</v>
      </c>
      <c r="F1223" s="18">
        <f t="shared" si="409"/>
        <v>0.88888888888888884</v>
      </c>
    </row>
    <row r="1224" spans="1:6" ht="15" customHeight="1" x14ac:dyDescent="0.25">
      <c r="A1224" s="15">
        <v>6</v>
      </c>
      <c r="B1224" s="15" t="s">
        <v>751</v>
      </c>
      <c r="C1224" s="20">
        <v>56</v>
      </c>
      <c r="D1224" s="20">
        <v>33493</v>
      </c>
      <c r="E1224" s="16">
        <v>30638</v>
      </c>
      <c r="F1224" s="18">
        <f t="shared" si="409"/>
        <v>0.91475830770608779</v>
      </c>
    </row>
    <row r="1225" spans="1:6" ht="15" customHeight="1" x14ac:dyDescent="0.25">
      <c r="A1225" s="15">
        <v>7</v>
      </c>
      <c r="B1225" s="15" t="s">
        <v>1609</v>
      </c>
      <c r="C1225" s="20">
        <v>33</v>
      </c>
      <c r="D1225" s="20">
        <v>22773</v>
      </c>
      <c r="E1225" s="16">
        <v>18463</v>
      </c>
      <c r="F1225" s="18">
        <f t="shared" si="409"/>
        <v>0.81074078953146267</v>
      </c>
    </row>
    <row r="1226" spans="1:6" ht="15" customHeight="1" x14ac:dyDescent="0.25">
      <c r="A1226" s="15">
        <v>8</v>
      </c>
      <c r="B1226" s="15" t="s">
        <v>1614</v>
      </c>
      <c r="C1226" s="20">
        <v>27</v>
      </c>
      <c r="D1226" s="20">
        <v>17356</v>
      </c>
      <c r="E1226" s="16">
        <v>14646</v>
      </c>
      <c r="F1226" s="18">
        <f t="shared" si="409"/>
        <v>0.84385803180456331</v>
      </c>
    </row>
    <row r="1227" spans="1:6" ht="15" customHeight="1" x14ac:dyDescent="0.25">
      <c r="A1227" s="15">
        <v>9</v>
      </c>
      <c r="B1227" s="15" t="s">
        <v>1435</v>
      </c>
      <c r="C1227" s="20">
        <v>29</v>
      </c>
      <c r="D1227" s="20">
        <v>17494</v>
      </c>
      <c r="E1227" s="16">
        <v>14818</v>
      </c>
      <c r="F1227" s="18">
        <f t="shared" si="409"/>
        <v>0.8470332685492169</v>
      </c>
    </row>
    <row r="1228" spans="1:6" ht="15" customHeight="1" x14ac:dyDescent="0.25">
      <c r="A1228" s="15">
        <v>10</v>
      </c>
      <c r="B1228" s="15" t="s">
        <v>35</v>
      </c>
      <c r="C1228" s="20">
        <v>13</v>
      </c>
      <c r="D1228" s="20">
        <v>7407</v>
      </c>
      <c r="E1228" s="16">
        <v>6665</v>
      </c>
      <c r="F1228" s="18">
        <f t="shared" si="409"/>
        <v>0.8998244903469691</v>
      </c>
    </row>
    <row r="1229" spans="1:6" ht="15" customHeight="1" x14ac:dyDescent="0.25">
      <c r="A1229" s="15">
        <v>11</v>
      </c>
      <c r="B1229" s="15" t="s">
        <v>317</v>
      </c>
      <c r="C1229" s="20">
        <v>28</v>
      </c>
      <c r="D1229" s="20">
        <v>18216</v>
      </c>
      <c r="E1229" s="16">
        <v>16333</v>
      </c>
      <c r="F1229" s="18">
        <f t="shared" si="409"/>
        <v>0.89662933684672819</v>
      </c>
    </row>
    <row r="1230" spans="1:6" ht="15" customHeight="1" x14ac:dyDescent="0.25">
      <c r="A1230" s="15">
        <v>12</v>
      </c>
      <c r="B1230" s="15" t="s">
        <v>752</v>
      </c>
      <c r="C1230" s="20">
        <v>62</v>
      </c>
      <c r="D1230" s="20">
        <v>45197</v>
      </c>
      <c r="E1230" s="16">
        <v>40321</v>
      </c>
      <c r="F1230" s="18">
        <f t="shared" si="409"/>
        <v>0.89211673341150965</v>
      </c>
    </row>
    <row r="1231" spans="1:6" ht="15" customHeight="1" x14ac:dyDescent="0.25">
      <c r="A1231" s="15">
        <v>13</v>
      </c>
      <c r="B1231" s="15" t="s">
        <v>753</v>
      </c>
      <c r="C1231" s="20">
        <v>33</v>
      </c>
      <c r="D1231" s="20">
        <v>24564</v>
      </c>
      <c r="E1231" s="16">
        <v>21753</v>
      </c>
      <c r="F1231" s="18">
        <f t="shared" ref="F1231:F1262" si="433">SUM(E1231/D1231)</f>
        <v>0.8855642403517342</v>
      </c>
    </row>
    <row r="1232" spans="1:6" ht="15" customHeight="1" x14ac:dyDescent="0.25">
      <c r="A1232" s="15">
        <v>14</v>
      </c>
      <c r="B1232" s="15" t="s">
        <v>754</v>
      </c>
      <c r="C1232" s="20">
        <v>75</v>
      </c>
      <c r="D1232" s="20">
        <v>53114</v>
      </c>
      <c r="E1232" s="16">
        <v>46191</v>
      </c>
      <c r="F1232" s="18">
        <f t="shared" si="433"/>
        <v>0.86965771736265396</v>
      </c>
    </row>
    <row r="1233" spans="1:6" ht="23.1" customHeight="1" x14ac:dyDescent="0.25">
      <c r="A1233" s="22"/>
      <c r="B1233" s="22" t="s">
        <v>8</v>
      </c>
      <c r="C1233" s="14">
        <f t="shared" ref="C1233" si="434">SUM(C1234:C1252)</f>
        <v>544</v>
      </c>
      <c r="D1233" s="14">
        <f t="shared" ref="D1233:E1233" si="435">SUM(D1234:D1252)</f>
        <v>326765</v>
      </c>
      <c r="E1233" s="14">
        <f t="shared" si="435"/>
        <v>285985</v>
      </c>
      <c r="F1233" s="13">
        <f t="shared" si="433"/>
        <v>0.87520083240249114</v>
      </c>
    </row>
    <row r="1234" spans="1:6" ht="15" customHeight="1" x14ac:dyDescent="0.25">
      <c r="A1234" s="15">
        <v>1</v>
      </c>
      <c r="B1234" s="15" t="s">
        <v>251</v>
      </c>
      <c r="C1234" s="20">
        <v>25</v>
      </c>
      <c r="D1234" s="20">
        <v>18056</v>
      </c>
      <c r="E1234" s="16">
        <v>15954</v>
      </c>
      <c r="F1234" s="18">
        <f t="shared" si="433"/>
        <v>0.88358440407620731</v>
      </c>
    </row>
    <row r="1235" spans="1:6" ht="15" customHeight="1" x14ac:dyDescent="0.25">
      <c r="A1235" s="15">
        <v>2</v>
      </c>
      <c r="B1235" s="15" t="s">
        <v>165</v>
      </c>
      <c r="C1235" s="20">
        <v>21</v>
      </c>
      <c r="D1235" s="20">
        <v>13774</v>
      </c>
      <c r="E1235" s="16">
        <v>12132</v>
      </c>
      <c r="F1235" s="18">
        <f t="shared" si="433"/>
        <v>0.88078989400319441</v>
      </c>
    </row>
    <row r="1236" spans="1:6" ht="15" customHeight="1" x14ac:dyDescent="0.25">
      <c r="A1236" s="15">
        <v>3</v>
      </c>
      <c r="B1236" s="15" t="s">
        <v>598</v>
      </c>
      <c r="C1236" s="20">
        <v>18</v>
      </c>
      <c r="D1236" s="20">
        <v>10601</v>
      </c>
      <c r="E1236" s="16">
        <v>9585</v>
      </c>
      <c r="F1236" s="18">
        <f t="shared" si="433"/>
        <v>0.90415998490708427</v>
      </c>
    </row>
    <row r="1237" spans="1:6" ht="15" customHeight="1" x14ac:dyDescent="0.25">
      <c r="A1237" s="15">
        <v>4</v>
      </c>
      <c r="B1237" s="15" t="s">
        <v>755</v>
      </c>
      <c r="C1237" s="20">
        <v>22</v>
      </c>
      <c r="D1237" s="20">
        <v>13738</v>
      </c>
      <c r="E1237" s="16">
        <v>12191</v>
      </c>
      <c r="F1237" s="18">
        <f t="shared" si="433"/>
        <v>0.88739263357111664</v>
      </c>
    </row>
    <row r="1238" spans="1:6" ht="15" customHeight="1" x14ac:dyDescent="0.25">
      <c r="A1238" s="15">
        <v>5</v>
      </c>
      <c r="B1238" s="15" t="s">
        <v>756</v>
      </c>
      <c r="C1238" s="20">
        <v>31</v>
      </c>
      <c r="D1238" s="20">
        <v>22114</v>
      </c>
      <c r="E1238" s="16">
        <v>18582</v>
      </c>
      <c r="F1238" s="18">
        <f t="shared" si="433"/>
        <v>0.84028217418829698</v>
      </c>
    </row>
    <row r="1239" spans="1:6" ht="15" customHeight="1" x14ac:dyDescent="0.25">
      <c r="A1239" s="15">
        <v>6</v>
      </c>
      <c r="B1239" s="15" t="s">
        <v>757</v>
      </c>
      <c r="C1239" s="20">
        <v>47</v>
      </c>
      <c r="D1239" s="20">
        <v>35223</v>
      </c>
      <c r="E1239" s="16">
        <v>30119</v>
      </c>
      <c r="F1239" s="18">
        <f t="shared" si="433"/>
        <v>0.85509468245180709</v>
      </c>
    </row>
    <row r="1240" spans="1:6" ht="15" customHeight="1" x14ac:dyDescent="0.25">
      <c r="A1240" s="15">
        <v>7</v>
      </c>
      <c r="B1240" s="15" t="s">
        <v>758</v>
      </c>
      <c r="C1240" s="20">
        <v>35</v>
      </c>
      <c r="D1240" s="20">
        <v>11129</v>
      </c>
      <c r="E1240" s="16">
        <v>9811</v>
      </c>
      <c r="F1240" s="18">
        <f t="shared" si="433"/>
        <v>0.88157067121933685</v>
      </c>
    </row>
    <row r="1241" spans="1:6" ht="15" customHeight="1" x14ac:dyDescent="0.25">
      <c r="A1241" s="15">
        <v>8</v>
      </c>
      <c r="B1241" s="15" t="s">
        <v>759</v>
      </c>
      <c r="C1241" s="20">
        <v>25</v>
      </c>
      <c r="D1241" s="20">
        <v>14421</v>
      </c>
      <c r="E1241" s="16">
        <v>12658</v>
      </c>
      <c r="F1241" s="18">
        <f t="shared" si="433"/>
        <v>0.87774772900631026</v>
      </c>
    </row>
    <row r="1242" spans="1:6" ht="15" customHeight="1" x14ac:dyDescent="0.25">
      <c r="A1242" s="15">
        <v>9</v>
      </c>
      <c r="B1242" s="15" t="s">
        <v>760</v>
      </c>
      <c r="C1242" s="20">
        <v>32</v>
      </c>
      <c r="D1242" s="20">
        <v>17183</v>
      </c>
      <c r="E1242" s="16">
        <v>14922</v>
      </c>
      <c r="F1242" s="18">
        <f t="shared" si="433"/>
        <v>0.86841645812721879</v>
      </c>
    </row>
    <row r="1243" spans="1:6" ht="15" customHeight="1" x14ac:dyDescent="0.25">
      <c r="A1243" s="15">
        <v>10</v>
      </c>
      <c r="B1243" s="15" t="s">
        <v>761</v>
      </c>
      <c r="C1243" s="20">
        <v>33</v>
      </c>
      <c r="D1243" s="20">
        <v>24399</v>
      </c>
      <c r="E1243" s="16">
        <v>21115</v>
      </c>
      <c r="F1243" s="18">
        <f t="shared" si="433"/>
        <v>0.8654043198491741</v>
      </c>
    </row>
    <row r="1244" spans="1:6" ht="15" customHeight="1" x14ac:dyDescent="0.25">
      <c r="A1244" s="15">
        <v>11</v>
      </c>
      <c r="B1244" s="15" t="s">
        <v>762</v>
      </c>
      <c r="C1244" s="19">
        <v>39</v>
      </c>
      <c r="D1244" s="19">
        <v>24536</v>
      </c>
      <c r="E1244" s="16">
        <v>21891</v>
      </c>
      <c r="F1244" s="18">
        <f t="shared" si="433"/>
        <v>0.89219921747636122</v>
      </c>
    </row>
    <row r="1245" spans="1:6" ht="15" customHeight="1" x14ac:dyDescent="0.25">
      <c r="A1245" s="15">
        <v>12</v>
      </c>
      <c r="B1245" s="15" t="s">
        <v>763</v>
      </c>
      <c r="C1245" s="20">
        <v>18</v>
      </c>
      <c r="D1245" s="20">
        <v>7910</v>
      </c>
      <c r="E1245" s="16">
        <v>6887</v>
      </c>
      <c r="F1245" s="18">
        <f t="shared" si="433"/>
        <v>0.87067003792667508</v>
      </c>
    </row>
    <row r="1246" spans="1:6" ht="15" customHeight="1" x14ac:dyDescent="0.25">
      <c r="A1246" s="15">
        <v>13</v>
      </c>
      <c r="B1246" s="15" t="s">
        <v>764</v>
      </c>
      <c r="C1246" s="20">
        <v>27</v>
      </c>
      <c r="D1246" s="20">
        <v>13022</v>
      </c>
      <c r="E1246" s="16">
        <v>11473</v>
      </c>
      <c r="F1246" s="18">
        <f t="shared" si="433"/>
        <v>0.88104745814774998</v>
      </c>
    </row>
    <row r="1247" spans="1:6" ht="15" customHeight="1" x14ac:dyDescent="0.25">
      <c r="A1247" s="15">
        <v>14</v>
      </c>
      <c r="B1247" s="15" t="s">
        <v>765</v>
      </c>
      <c r="C1247" s="20">
        <v>29</v>
      </c>
      <c r="D1247" s="20">
        <v>14163</v>
      </c>
      <c r="E1247" s="16">
        <v>12713</v>
      </c>
      <c r="F1247" s="18">
        <f t="shared" si="433"/>
        <v>0.89762056061568873</v>
      </c>
    </row>
    <row r="1248" spans="1:6" ht="15" customHeight="1" x14ac:dyDescent="0.25">
      <c r="A1248" s="15">
        <v>15</v>
      </c>
      <c r="B1248" s="15" t="s">
        <v>170</v>
      </c>
      <c r="C1248" s="20">
        <v>33</v>
      </c>
      <c r="D1248" s="20">
        <v>20406</v>
      </c>
      <c r="E1248" s="16">
        <v>18001</v>
      </c>
      <c r="F1248" s="18">
        <f t="shared" si="433"/>
        <v>0.88214250710575326</v>
      </c>
    </row>
    <row r="1249" spans="1:6" ht="15" customHeight="1" x14ac:dyDescent="0.25">
      <c r="A1249" s="15">
        <v>16</v>
      </c>
      <c r="B1249" s="15" t="s">
        <v>33</v>
      </c>
      <c r="C1249" s="20">
        <v>30</v>
      </c>
      <c r="D1249" s="20">
        <v>20028</v>
      </c>
      <c r="E1249" s="16">
        <v>17279</v>
      </c>
      <c r="F1249" s="18">
        <f t="shared" si="433"/>
        <v>0.86274216097463552</v>
      </c>
    </row>
    <row r="1250" spans="1:6" ht="15" customHeight="1" x14ac:dyDescent="0.25">
      <c r="A1250" s="15">
        <v>17</v>
      </c>
      <c r="B1250" s="15" t="s">
        <v>766</v>
      </c>
      <c r="C1250" s="20">
        <v>13</v>
      </c>
      <c r="D1250" s="20">
        <v>8236</v>
      </c>
      <c r="E1250" s="16">
        <v>7207</v>
      </c>
      <c r="F1250" s="18">
        <f t="shared" si="433"/>
        <v>0.87506070908207867</v>
      </c>
    </row>
    <row r="1251" spans="1:6" ht="15" customHeight="1" x14ac:dyDescent="0.25">
      <c r="A1251" s="15">
        <v>18</v>
      </c>
      <c r="B1251" s="15" t="s">
        <v>767</v>
      </c>
      <c r="C1251" s="20">
        <v>29</v>
      </c>
      <c r="D1251" s="20">
        <v>18517</v>
      </c>
      <c r="E1251" s="16">
        <v>16356</v>
      </c>
      <c r="F1251" s="18">
        <f t="shared" si="433"/>
        <v>0.88329643030728522</v>
      </c>
    </row>
    <row r="1252" spans="1:6" ht="15" customHeight="1" x14ac:dyDescent="0.25">
      <c r="A1252" s="15">
        <v>19</v>
      </c>
      <c r="B1252" s="15" t="s">
        <v>768</v>
      </c>
      <c r="C1252" s="20">
        <v>37</v>
      </c>
      <c r="D1252" s="20">
        <v>19309</v>
      </c>
      <c r="E1252" s="16">
        <v>17109</v>
      </c>
      <c r="F1252" s="18">
        <f t="shared" si="433"/>
        <v>0.88606349370759752</v>
      </c>
    </row>
    <row r="1253" spans="1:6" ht="23.1" customHeight="1" x14ac:dyDescent="0.25">
      <c r="A1253" s="22"/>
      <c r="B1253" s="22" t="s">
        <v>769</v>
      </c>
      <c r="C1253" s="12">
        <f t="shared" ref="C1253" si="436">C1254+C1261+C1269+C1277+C1287+C1299+C1302+C1312+C1314+C1316</f>
        <v>4120</v>
      </c>
      <c r="D1253" s="12">
        <f t="shared" ref="D1253:E1253" si="437">D1254+D1261+D1269+D1277+D1287+D1299+D1302+D1312+D1314+D1316</f>
        <v>3407780</v>
      </c>
      <c r="E1253" s="12">
        <f t="shared" si="437"/>
        <v>2934855</v>
      </c>
      <c r="F1253" s="13">
        <f t="shared" si="433"/>
        <v>0.8612219685543081</v>
      </c>
    </row>
    <row r="1254" spans="1:6" ht="23.1" customHeight="1" x14ac:dyDescent="0.25">
      <c r="A1254" s="22"/>
      <c r="B1254" s="22" t="s">
        <v>6</v>
      </c>
      <c r="C1254" s="14">
        <f t="shared" ref="C1254" si="438">SUM(C1255:C1260)</f>
        <v>581</v>
      </c>
      <c r="D1254" s="14">
        <f t="shared" ref="D1254:E1254" si="439">SUM(D1255:D1260)</f>
        <v>495807</v>
      </c>
      <c r="E1254" s="14">
        <f t="shared" si="439"/>
        <v>427954</v>
      </c>
      <c r="F1254" s="13">
        <f t="shared" si="433"/>
        <v>0.8631463452512772</v>
      </c>
    </row>
    <row r="1255" spans="1:6" ht="15" customHeight="1" x14ac:dyDescent="0.25">
      <c r="A1255" s="15">
        <v>1</v>
      </c>
      <c r="B1255" s="15" t="s">
        <v>770</v>
      </c>
      <c r="C1255" s="20">
        <v>94</v>
      </c>
      <c r="D1255" s="20">
        <v>80580</v>
      </c>
      <c r="E1255" s="16">
        <v>70990</v>
      </c>
      <c r="F1255" s="18">
        <f t="shared" si="433"/>
        <v>0.880987838173244</v>
      </c>
    </row>
    <row r="1256" spans="1:6" ht="15" customHeight="1" x14ac:dyDescent="0.25">
      <c r="A1256" s="15">
        <v>2</v>
      </c>
      <c r="B1256" s="15" t="s">
        <v>537</v>
      </c>
      <c r="C1256" s="20">
        <v>62</v>
      </c>
      <c r="D1256" s="20">
        <v>51416</v>
      </c>
      <c r="E1256" s="16">
        <v>44094</v>
      </c>
      <c r="F1256" s="18">
        <f t="shared" si="433"/>
        <v>0.85759296716975264</v>
      </c>
    </row>
    <row r="1257" spans="1:6" ht="15" customHeight="1" x14ac:dyDescent="0.25">
      <c r="A1257" s="15">
        <v>3</v>
      </c>
      <c r="B1257" s="15" t="s">
        <v>771</v>
      </c>
      <c r="C1257" s="20">
        <v>48</v>
      </c>
      <c r="D1257" s="20">
        <v>34444</v>
      </c>
      <c r="E1257" s="16">
        <v>30677</v>
      </c>
      <c r="F1257" s="18">
        <f t="shared" si="433"/>
        <v>0.89063407269771222</v>
      </c>
    </row>
    <row r="1258" spans="1:6" ht="15" customHeight="1" x14ac:dyDescent="0.25">
      <c r="A1258" s="15"/>
      <c r="B1258" s="24" t="s">
        <v>1436</v>
      </c>
      <c r="C1258" s="20">
        <v>97</v>
      </c>
      <c r="D1258" s="20">
        <v>87040</v>
      </c>
      <c r="E1258" s="16">
        <v>77809</v>
      </c>
      <c r="F1258" s="18">
        <f t="shared" si="433"/>
        <v>0.89394531249999998</v>
      </c>
    </row>
    <row r="1259" spans="1:6" ht="15" customHeight="1" x14ac:dyDescent="0.25">
      <c r="A1259" s="15"/>
      <c r="B1259" s="24" t="s">
        <v>1409</v>
      </c>
      <c r="C1259" s="20">
        <v>102</v>
      </c>
      <c r="D1259" s="20">
        <v>86935</v>
      </c>
      <c r="E1259" s="16">
        <v>72826</v>
      </c>
      <c r="F1259" s="18">
        <f t="shared" si="433"/>
        <v>0.83770633231724856</v>
      </c>
    </row>
    <row r="1260" spans="1:6" ht="15" customHeight="1" x14ac:dyDescent="0.25">
      <c r="A1260" s="15"/>
      <c r="B1260" s="24" t="s">
        <v>1437</v>
      </c>
      <c r="C1260" s="20">
        <v>178</v>
      </c>
      <c r="D1260" s="20">
        <v>155392</v>
      </c>
      <c r="E1260" s="16">
        <v>131558</v>
      </c>
      <c r="F1260" s="18">
        <f t="shared" si="433"/>
        <v>0.84662016062602963</v>
      </c>
    </row>
    <row r="1261" spans="1:6" ht="23.1" customHeight="1" x14ac:dyDescent="0.25">
      <c r="A1261" s="22"/>
      <c r="B1261" s="22" t="s">
        <v>7</v>
      </c>
      <c r="C1261" s="14">
        <f t="shared" ref="C1261" si="440">SUM(C1262:C1268)</f>
        <v>252</v>
      </c>
      <c r="D1261" s="14">
        <f t="shared" ref="D1261:E1261" si="441">SUM(D1262:D1268)</f>
        <v>181873</v>
      </c>
      <c r="E1261" s="14">
        <f t="shared" si="441"/>
        <v>162413</v>
      </c>
      <c r="F1261" s="13">
        <f t="shared" si="433"/>
        <v>0.89300225981866466</v>
      </c>
    </row>
    <row r="1262" spans="1:6" ht="15" customHeight="1" x14ac:dyDescent="0.25">
      <c r="A1262" s="15">
        <v>1</v>
      </c>
      <c r="B1262" s="15" t="s">
        <v>772</v>
      </c>
      <c r="C1262" s="20">
        <v>20</v>
      </c>
      <c r="D1262" s="20">
        <v>14773</v>
      </c>
      <c r="E1262" s="16">
        <v>13047</v>
      </c>
      <c r="F1262" s="18">
        <f t="shared" si="433"/>
        <v>0.88316523387260548</v>
      </c>
    </row>
    <row r="1263" spans="1:6" ht="15" customHeight="1" x14ac:dyDescent="0.25">
      <c r="A1263" s="15">
        <v>2</v>
      </c>
      <c r="B1263" s="15" t="s">
        <v>774</v>
      </c>
      <c r="C1263" s="20">
        <v>74</v>
      </c>
      <c r="D1263" s="20">
        <v>56384</v>
      </c>
      <c r="E1263" s="16">
        <v>50098</v>
      </c>
      <c r="F1263" s="18">
        <f t="shared" ref="F1263:F1294" si="442">SUM(E1263/D1263)</f>
        <v>0.88851447219069235</v>
      </c>
    </row>
    <row r="1264" spans="1:6" ht="15" customHeight="1" x14ac:dyDescent="0.25">
      <c r="A1264" s="15">
        <v>3</v>
      </c>
      <c r="B1264" s="15" t="s">
        <v>776</v>
      </c>
      <c r="C1264" s="20">
        <v>18</v>
      </c>
      <c r="D1264" s="20">
        <v>12247</v>
      </c>
      <c r="E1264" s="16">
        <v>10912</v>
      </c>
      <c r="F1264" s="18">
        <f t="shared" si="442"/>
        <v>0.89099371274597861</v>
      </c>
    </row>
    <row r="1265" spans="1:6" ht="15" customHeight="1" x14ac:dyDescent="0.25">
      <c r="A1265" s="15">
        <v>4</v>
      </c>
      <c r="B1265" s="15" t="s">
        <v>777</v>
      </c>
      <c r="C1265" s="20">
        <v>70</v>
      </c>
      <c r="D1265" s="20">
        <v>48912</v>
      </c>
      <c r="E1265" s="16">
        <v>44682</v>
      </c>
      <c r="F1265" s="18">
        <f t="shared" si="442"/>
        <v>0.91351815505397449</v>
      </c>
    </row>
    <row r="1266" spans="1:6" ht="15" customHeight="1" x14ac:dyDescent="0.25">
      <c r="A1266" s="15">
        <v>5</v>
      </c>
      <c r="B1266" s="15" t="s">
        <v>782</v>
      </c>
      <c r="C1266" s="20">
        <v>32</v>
      </c>
      <c r="D1266" s="20">
        <v>21303</v>
      </c>
      <c r="E1266" s="28">
        <v>18458</v>
      </c>
      <c r="F1266" s="18">
        <f t="shared" si="442"/>
        <v>0.8664507346383139</v>
      </c>
    </row>
    <row r="1267" spans="1:6" ht="15" customHeight="1" x14ac:dyDescent="0.25">
      <c r="A1267" s="15">
        <v>6</v>
      </c>
      <c r="B1267" s="15" t="s">
        <v>784</v>
      </c>
      <c r="C1267" s="20">
        <v>20</v>
      </c>
      <c r="D1267" s="20">
        <v>14612</v>
      </c>
      <c r="E1267" s="16">
        <v>13424</v>
      </c>
      <c r="F1267" s="18">
        <f t="shared" si="442"/>
        <v>0.91869696140158774</v>
      </c>
    </row>
    <row r="1268" spans="1:6" ht="15" customHeight="1" x14ac:dyDescent="0.25">
      <c r="A1268" s="15">
        <v>7</v>
      </c>
      <c r="B1268" s="15" t="s">
        <v>785</v>
      </c>
      <c r="C1268" s="20">
        <v>18</v>
      </c>
      <c r="D1268" s="20">
        <v>13642</v>
      </c>
      <c r="E1268" s="16">
        <v>11792</v>
      </c>
      <c r="F1268" s="18">
        <f t="shared" si="442"/>
        <v>0.86438938572056878</v>
      </c>
    </row>
    <row r="1269" spans="1:6" ht="23.1" customHeight="1" x14ac:dyDescent="0.25">
      <c r="A1269" s="22"/>
      <c r="B1269" s="22" t="s">
        <v>8</v>
      </c>
      <c r="C1269" s="14">
        <f t="shared" ref="C1269" si="443">SUM(C1270:C1276)</f>
        <v>512</v>
      </c>
      <c r="D1269" s="14">
        <f t="shared" ref="D1269:E1269" si="444">SUM(D1270:D1276)</f>
        <v>397831</v>
      </c>
      <c r="E1269" s="14">
        <f t="shared" si="444"/>
        <v>339394</v>
      </c>
      <c r="F1269" s="13">
        <f t="shared" si="442"/>
        <v>0.85311099436695481</v>
      </c>
    </row>
    <row r="1270" spans="1:6" ht="15" customHeight="1" x14ac:dyDescent="0.25">
      <c r="A1270" s="15">
        <v>1</v>
      </c>
      <c r="B1270" s="15" t="s">
        <v>786</v>
      </c>
      <c r="C1270" s="20">
        <v>28</v>
      </c>
      <c r="D1270" s="20">
        <v>21021</v>
      </c>
      <c r="E1270" s="16">
        <v>18209</v>
      </c>
      <c r="F1270" s="18">
        <f t="shared" si="442"/>
        <v>0.86622900908615197</v>
      </c>
    </row>
    <row r="1271" spans="1:6" ht="15" customHeight="1" x14ac:dyDescent="0.25">
      <c r="A1271" s="15">
        <v>2</v>
      </c>
      <c r="B1271" s="15" t="s">
        <v>787</v>
      </c>
      <c r="C1271" s="20">
        <v>52</v>
      </c>
      <c r="D1271" s="20">
        <v>37684</v>
      </c>
      <c r="E1271" s="16">
        <v>33761</v>
      </c>
      <c r="F1271" s="18">
        <f t="shared" si="442"/>
        <v>0.89589746311431906</v>
      </c>
    </row>
    <row r="1272" spans="1:6" ht="15" customHeight="1" x14ac:dyDescent="0.25">
      <c r="A1272" s="15">
        <v>3</v>
      </c>
      <c r="B1272" s="15" t="s">
        <v>788</v>
      </c>
      <c r="C1272" s="20">
        <v>69</v>
      </c>
      <c r="D1272" s="20">
        <v>55263</v>
      </c>
      <c r="E1272" s="16">
        <v>46459</v>
      </c>
      <c r="F1272" s="18">
        <f t="shared" si="442"/>
        <v>0.84068906863543424</v>
      </c>
    </row>
    <row r="1273" spans="1:6" ht="15" customHeight="1" x14ac:dyDescent="0.25">
      <c r="A1273" s="15">
        <v>4</v>
      </c>
      <c r="B1273" s="15" t="s">
        <v>789</v>
      </c>
      <c r="C1273" s="20">
        <v>78</v>
      </c>
      <c r="D1273" s="20">
        <v>58511</v>
      </c>
      <c r="E1273" s="16">
        <v>47836</v>
      </c>
      <c r="F1273" s="18">
        <f t="shared" si="442"/>
        <v>0.81755567329220147</v>
      </c>
    </row>
    <row r="1274" spans="1:6" ht="15" customHeight="1" x14ac:dyDescent="0.25">
      <c r="A1274" s="15">
        <v>5</v>
      </c>
      <c r="B1274" s="15" t="s">
        <v>790</v>
      </c>
      <c r="C1274" s="20">
        <v>61</v>
      </c>
      <c r="D1274" s="20">
        <v>49554</v>
      </c>
      <c r="E1274" s="16">
        <v>43140</v>
      </c>
      <c r="F1274" s="18">
        <f t="shared" si="442"/>
        <v>0.87056544375832423</v>
      </c>
    </row>
    <row r="1275" spans="1:6" ht="15" customHeight="1" x14ac:dyDescent="0.25">
      <c r="A1275" s="15">
        <v>6</v>
      </c>
      <c r="B1275" s="15" t="s">
        <v>791</v>
      </c>
      <c r="C1275" s="20">
        <v>76</v>
      </c>
      <c r="D1275" s="20">
        <v>46602</v>
      </c>
      <c r="E1275" s="16">
        <v>38224</v>
      </c>
      <c r="F1275" s="18">
        <f t="shared" si="442"/>
        <v>0.82022230805544827</v>
      </c>
    </row>
    <row r="1276" spans="1:6" ht="15" customHeight="1" x14ac:dyDescent="0.25">
      <c r="A1276" s="15"/>
      <c r="B1276" s="24" t="s">
        <v>1438</v>
      </c>
      <c r="C1276" s="20">
        <v>148</v>
      </c>
      <c r="D1276" s="20">
        <v>129196</v>
      </c>
      <c r="E1276" s="16">
        <v>111765</v>
      </c>
      <c r="F1276" s="18">
        <f t="shared" si="442"/>
        <v>0.86508096225889342</v>
      </c>
    </row>
    <row r="1277" spans="1:6" ht="23.1" customHeight="1" x14ac:dyDescent="0.25">
      <c r="A1277" s="22"/>
      <c r="B1277" s="22" t="s">
        <v>9</v>
      </c>
      <c r="C1277" s="14">
        <f t="shared" ref="C1277" si="445">SUM(C1278:C1286)</f>
        <v>454</v>
      </c>
      <c r="D1277" s="14">
        <f t="shared" ref="D1277:E1277" si="446">SUM(D1278:D1286)</f>
        <v>355168</v>
      </c>
      <c r="E1277" s="14">
        <f t="shared" si="446"/>
        <v>308899</v>
      </c>
      <c r="F1277" s="13">
        <f t="shared" si="442"/>
        <v>0.86972643931885751</v>
      </c>
    </row>
    <row r="1278" spans="1:6" ht="15" customHeight="1" x14ac:dyDescent="0.25">
      <c r="A1278" s="15">
        <v>1</v>
      </c>
      <c r="B1278" s="15" t="s">
        <v>792</v>
      </c>
      <c r="C1278" s="20">
        <v>63</v>
      </c>
      <c r="D1278" s="20">
        <v>49851</v>
      </c>
      <c r="E1278" s="16">
        <v>41858</v>
      </c>
      <c r="F1278" s="18">
        <f t="shared" si="442"/>
        <v>0.83966219333614167</v>
      </c>
    </row>
    <row r="1279" spans="1:6" ht="15" customHeight="1" x14ac:dyDescent="0.25">
      <c r="A1279" s="15">
        <v>2</v>
      </c>
      <c r="B1279" s="15" t="s">
        <v>793</v>
      </c>
      <c r="C1279" s="20">
        <v>68</v>
      </c>
      <c r="D1279" s="20">
        <v>57409</v>
      </c>
      <c r="E1279" s="16">
        <v>49422</v>
      </c>
      <c r="F1279" s="18">
        <f t="shared" si="442"/>
        <v>0.86087547248689233</v>
      </c>
    </row>
    <row r="1280" spans="1:6" ht="15" customHeight="1" x14ac:dyDescent="0.25">
      <c r="A1280" s="15">
        <v>3</v>
      </c>
      <c r="B1280" s="15" t="s">
        <v>794</v>
      </c>
      <c r="C1280" s="20">
        <v>39</v>
      </c>
      <c r="D1280" s="20">
        <v>30868</v>
      </c>
      <c r="E1280" s="16">
        <v>26140</v>
      </c>
      <c r="F1280" s="18">
        <f t="shared" si="442"/>
        <v>0.84683167033821438</v>
      </c>
    </row>
    <row r="1281" spans="1:6" ht="15" customHeight="1" x14ac:dyDescent="0.25">
      <c r="A1281" s="15">
        <v>4</v>
      </c>
      <c r="B1281" s="15" t="s">
        <v>795</v>
      </c>
      <c r="C1281" s="20">
        <v>53</v>
      </c>
      <c r="D1281" s="20">
        <v>42006</v>
      </c>
      <c r="E1281" s="16">
        <v>37047</v>
      </c>
      <c r="F1281" s="18">
        <f t="shared" si="442"/>
        <v>0.88194543636623335</v>
      </c>
    </row>
    <row r="1282" spans="1:6" ht="15" customHeight="1" x14ac:dyDescent="0.25">
      <c r="A1282" s="15">
        <v>5</v>
      </c>
      <c r="B1282" s="15" t="s">
        <v>645</v>
      </c>
      <c r="C1282" s="20">
        <v>59</v>
      </c>
      <c r="D1282" s="20">
        <v>44858</v>
      </c>
      <c r="E1282" s="16">
        <v>40043</v>
      </c>
      <c r="F1282" s="18">
        <f t="shared" si="442"/>
        <v>0.89266128672700518</v>
      </c>
    </row>
    <row r="1283" spans="1:6" ht="15" customHeight="1" x14ac:dyDescent="0.25">
      <c r="A1283" s="15">
        <v>6</v>
      </c>
      <c r="B1283" s="15" t="s">
        <v>272</v>
      </c>
      <c r="C1283" s="20">
        <v>30</v>
      </c>
      <c r="D1283" s="20">
        <v>22646</v>
      </c>
      <c r="E1283" s="16">
        <v>19506</v>
      </c>
      <c r="F1283" s="18">
        <f t="shared" si="442"/>
        <v>0.86134416674026315</v>
      </c>
    </row>
    <row r="1284" spans="1:6" ht="15" customHeight="1" x14ac:dyDescent="0.25">
      <c r="A1284" s="15">
        <v>7</v>
      </c>
      <c r="B1284" s="15" t="s">
        <v>796</v>
      </c>
      <c r="C1284" s="20">
        <v>41</v>
      </c>
      <c r="D1284" s="20">
        <v>29265</v>
      </c>
      <c r="E1284" s="16">
        <v>26215</v>
      </c>
      <c r="F1284" s="18">
        <f t="shared" si="442"/>
        <v>0.89577994191013155</v>
      </c>
    </row>
    <row r="1285" spans="1:6" ht="15" customHeight="1" x14ac:dyDescent="0.25">
      <c r="A1285" s="15">
        <v>8</v>
      </c>
      <c r="B1285" s="15" t="s">
        <v>797</v>
      </c>
      <c r="C1285" s="20">
        <v>28</v>
      </c>
      <c r="D1285" s="20">
        <v>21219</v>
      </c>
      <c r="E1285" s="16">
        <v>19360</v>
      </c>
      <c r="F1285" s="18">
        <f t="shared" si="442"/>
        <v>0.91238983929497153</v>
      </c>
    </row>
    <row r="1286" spans="1:6" ht="15" customHeight="1" x14ac:dyDescent="0.25">
      <c r="A1286" s="15"/>
      <c r="B1286" s="24" t="s">
        <v>1439</v>
      </c>
      <c r="C1286" s="20">
        <v>73</v>
      </c>
      <c r="D1286" s="20">
        <v>57046</v>
      </c>
      <c r="E1286" s="16">
        <v>49308</v>
      </c>
      <c r="F1286" s="18">
        <f t="shared" si="442"/>
        <v>0.86435508186375909</v>
      </c>
    </row>
    <row r="1287" spans="1:6" ht="23.1" customHeight="1" x14ac:dyDescent="0.25">
      <c r="A1287" s="22"/>
      <c r="B1287" s="22" t="s">
        <v>10</v>
      </c>
      <c r="C1287" s="14">
        <f t="shared" ref="C1287" si="447">SUM(C1288:C1298)</f>
        <v>535</v>
      </c>
      <c r="D1287" s="14">
        <f t="shared" ref="D1287:E1287" si="448">SUM(D1288:D1298)</f>
        <v>419986</v>
      </c>
      <c r="E1287" s="14">
        <f t="shared" si="448"/>
        <v>365634</v>
      </c>
      <c r="F1287" s="13">
        <f t="shared" si="442"/>
        <v>0.87058616239588937</v>
      </c>
    </row>
    <row r="1288" spans="1:6" ht="15" customHeight="1" x14ac:dyDescent="0.25">
      <c r="A1288" s="15">
        <v>1</v>
      </c>
      <c r="B1288" s="15" t="s">
        <v>798</v>
      </c>
      <c r="C1288" s="19">
        <v>38</v>
      </c>
      <c r="D1288" s="19">
        <v>27275</v>
      </c>
      <c r="E1288" s="16">
        <v>24585</v>
      </c>
      <c r="F1288" s="18">
        <f t="shared" si="442"/>
        <v>0.90137488542621447</v>
      </c>
    </row>
    <row r="1289" spans="1:6" ht="15" customHeight="1" x14ac:dyDescent="0.25">
      <c r="A1289" s="15">
        <v>2</v>
      </c>
      <c r="B1289" s="15" t="s">
        <v>757</v>
      </c>
      <c r="C1289" s="19">
        <v>50</v>
      </c>
      <c r="D1289" s="19">
        <v>40904</v>
      </c>
      <c r="E1289" s="16">
        <v>35543</v>
      </c>
      <c r="F1289" s="18">
        <f t="shared" si="442"/>
        <v>0.86893702327400746</v>
      </c>
    </row>
    <row r="1290" spans="1:6" ht="15" customHeight="1" x14ac:dyDescent="0.25">
      <c r="A1290" s="15">
        <v>3</v>
      </c>
      <c r="B1290" s="15" t="s">
        <v>799</v>
      </c>
      <c r="C1290" s="19">
        <v>34</v>
      </c>
      <c r="D1290" s="19">
        <v>22551</v>
      </c>
      <c r="E1290" s="16">
        <v>20465</v>
      </c>
      <c r="F1290" s="18">
        <f t="shared" si="442"/>
        <v>0.90749855882222519</v>
      </c>
    </row>
    <row r="1291" spans="1:6" ht="15" customHeight="1" x14ac:dyDescent="0.25">
      <c r="A1291" s="15">
        <v>4</v>
      </c>
      <c r="B1291" s="15" t="s">
        <v>800</v>
      </c>
      <c r="C1291" s="19">
        <v>49</v>
      </c>
      <c r="D1291" s="19">
        <v>39513</v>
      </c>
      <c r="E1291" s="16">
        <v>35267</v>
      </c>
      <c r="F1291" s="18">
        <f t="shared" si="442"/>
        <v>0.89254169513830894</v>
      </c>
    </row>
    <row r="1292" spans="1:6" ht="15" customHeight="1" x14ac:dyDescent="0.25">
      <c r="A1292" s="15">
        <v>5</v>
      </c>
      <c r="B1292" s="15" t="s">
        <v>801</v>
      </c>
      <c r="C1292" s="19">
        <v>100</v>
      </c>
      <c r="D1292" s="19">
        <v>87305</v>
      </c>
      <c r="E1292" s="16">
        <v>74611</v>
      </c>
      <c r="F1292" s="18">
        <f t="shared" si="442"/>
        <v>0.85460168375236245</v>
      </c>
    </row>
    <row r="1293" spans="1:6" ht="15" customHeight="1" x14ac:dyDescent="0.25">
      <c r="A1293" s="15">
        <v>6</v>
      </c>
      <c r="B1293" s="15" t="s">
        <v>33</v>
      </c>
      <c r="C1293" s="19">
        <v>14</v>
      </c>
      <c r="D1293" s="19">
        <v>9607</v>
      </c>
      <c r="E1293" s="16">
        <v>8521</v>
      </c>
      <c r="F1293" s="18">
        <f t="shared" si="442"/>
        <v>0.88695742687623613</v>
      </c>
    </row>
    <row r="1294" spans="1:6" ht="15" customHeight="1" x14ac:dyDescent="0.25">
      <c r="A1294" s="15">
        <v>7</v>
      </c>
      <c r="B1294" s="15" t="s">
        <v>802</v>
      </c>
      <c r="C1294" s="19">
        <v>28</v>
      </c>
      <c r="D1294" s="19">
        <v>19302</v>
      </c>
      <c r="E1294" s="16">
        <v>17053</v>
      </c>
      <c r="F1294" s="18">
        <f t="shared" si="442"/>
        <v>0.88348357683141643</v>
      </c>
    </row>
    <row r="1295" spans="1:6" ht="15" customHeight="1" x14ac:dyDescent="0.25">
      <c r="A1295" s="15">
        <v>8</v>
      </c>
      <c r="B1295" s="15" t="s">
        <v>803</v>
      </c>
      <c r="C1295" s="19">
        <v>46</v>
      </c>
      <c r="D1295" s="19">
        <v>39021</v>
      </c>
      <c r="E1295" s="16">
        <v>31861</v>
      </c>
      <c r="F1295" s="18">
        <f t="shared" ref="F1295:F1310" si="449">SUM(E1295/D1295)</f>
        <v>0.81650905922452011</v>
      </c>
    </row>
    <row r="1296" spans="1:6" ht="15" customHeight="1" x14ac:dyDescent="0.25">
      <c r="A1296" s="15">
        <v>9</v>
      </c>
      <c r="B1296" s="15" t="s">
        <v>804</v>
      </c>
      <c r="C1296" s="19">
        <v>36</v>
      </c>
      <c r="D1296" s="19">
        <v>26198</v>
      </c>
      <c r="E1296" s="16">
        <v>23299</v>
      </c>
      <c r="F1296" s="18">
        <f t="shared" si="449"/>
        <v>0.88934269791587139</v>
      </c>
    </row>
    <row r="1297" spans="1:6" ht="15" customHeight="1" x14ac:dyDescent="0.25">
      <c r="A1297" s="15">
        <v>10</v>
      </c>
      <c r="B1297" s="15" t="s">
        <v>805</v>
      </c>
      <c r="C1297" s="19">
        <v>14</v>
      </c>
      <c r="D1297" s="19">
        <v>8914</v>
      </c>
      <c r="E1297" s="16">
        <v>7658</v>
      </c>
      <c r="F1297" s="18">
        <f t="shared" si="449"/>
        <v>0.85909804801435941</v>
      </c>
    </row>
    <row r="1298" spans="1:6" ht="15" customHeight="1" x14ac:dyDescent="0.25">
      <c r="A1298" s="23"/>
      <c r="B1298" s="24" t="s">
        <v>1546</v>
      </c>
      <c r="C1298" s="19">
        <v>126</v>
      </c>
      <c r="D1298" s="19">
        <v>99396</v>
      </c>
      <c r="E1298" s="16">
        <v>86771</v>
      </c>
      <c r="F1298" s="18">
        <f t="shared" si="449"/>
        <v>0.87298281620990781</v>
      </c>
    </row>
    <row r="1299" spans="1:6" ht="23.1" customHeight="1" x14ac:dyDescent="0.25">
      <c r="A1299" s="22"/>
      <c r="B1299" s="22" t="s">
        <v>11</v>
      </c>
      <c r="C1299" s="12">
        <f t="shared" ref="C1299" si="450">SUM(C1300:C1301)</f>
        <v>175</v>
      </c>
      <c r="D1299" s="12">
        <f t="shared" ref="D1299:E1299" si="451">SUM(D1300:D1301)</f>
        <v>153450</v>
      </c>
      <c r="E1299" s="12">
        <f t="shared" si="451"/>
        <v>127764</v>
      </c>
      <c r="F1299" s="13">
        <f t="shared" si="449"/>
        <v>0.83260997067448683</v>
      </c>
    </row>
    <row r="1300" spans="1:6" ht="15" customHeight="1" x14ac:dyDescent="0.25">
      <c r="A1300" s="15">
        <v>1</v>
      </c>
      <c r="B1300" s="15" t="s">
        <v>806</v>
      </c>
      <c r="C1300" s="20">
        <v>116</v>
      </c>
      <c r="D1300" s="20">
        <v>100189</v>
      </c>
      <c r="E1300" s="16">
        <v>82070</v>
      </c>
      <c r="F1300" s="18">
        <f t="shared" si="449"/>
        <v>0.81915180309215585</v>
      </c>
    </row>
    <row r="1301" spans="1:6" ht="15" customHeight="1" x14ac:dyDescent="0.25">
      <c r="A1301" s="15">
        <v>2</v>
      </c>
      <c r="B1301" s="15" t="s">
        <v>807</v>
      </c>
      <c r="C1301" s="20">
        <v>59</v>
      </c>
      <c r="D1301" s="20">
        <v>53261</v>
      </c>
      <c r="E1301" s="16">
        <v>45694</v>
      </c>
      <c r="F1301" s="18">
        <f t="shared" si="449"/>
        <v>0.85792606222188839</v>
      </c>
    </row>
    <row r="1302" spans="1:6" ht="23.1" customHeight="1" x14ac:dyDescent="0.25">
      <c r="A1302" s="15"/>
      <c r="B1302" s="22" t="s">
        <v>420</v>
      </c>
      <c r="C1302" s="12">
        <f t="shared" ref="C1302" si="452">SUM(C1303:C1310)</f>
        <v>248</v>
      </c>
      <c r="D1302" s="12">
        <f t="shared" ref="D1302:E1302" si="453">SUM(D1303:D1310)</f>
        <v>168055</v>
      </c>
      <c r="E1302" s="12">
        <f t="shared" si="453"/>
        <v>149093</v>
      </c>
      <c r="F1302" s="18">
        <f t="shared" si="449"/>
        <v>0.88716789146410402</v>
      </c>
    </row>
    <row r="1303" spans="1:6" ht="15" customHeight="1" x14ac:dyDescent="0.25">
      <c r="A1303" s="15">
        <v>1</v>
      </c>
      <c r="B1303" s="15" t="s">
        <v>538</v>
      </c>
      <c r="C1303" s="20">
        <v>18</v>
      </c>
      <c r="D1303" s="20">
        <v>12612</v>
      </c>
      <c r="E1303" s="16">
        <v>11284</v>
      </c>
      <c r="F1303" s="18">
        <f t="shared" si="449"/>
        <v>0.89470345702505549</v>
      </c>
    </row>
    <row r="1304" spans="1:6" ht="15" customHeight="1" x14ac:dyDescent="0.25">
      <c r="A1304" s="15">
        <v>2</v>
      </c>
      <c r="B1304" s="15" t="s">
        <v>773</v>
      </c>
      <c r="C1304" s="20">
        <v>30</v>
      </c>
      <c r="D1304" s="20">
        <v>17964</v>
      </c>
      <c r="E1304" s="16">
        <v>15771</v>
      </c>
      <c r="F1304" s="18">
        <f t="shared" si="449"/>
        <v>0.87792251169004676</v>
      </c>
    </row>
    <row r="1305" spans="1:6" ht="15" customHeight="1" x14ac:dyDescent="0.25">
      <c r="A1305" s="15">
        <v>3</v>
      </c>
      <c r="B1305" s="15" t="s">
        <v>775</v>
      </c>
      <c r="C1305" s="20">
        <v>44</v>
      </c>
      <c r="D1305" s="20">
        <v>29459</v>
      </c>
      <c r="E1305" s="16">
        <v>27224</v>
      </c>
      <c r="F1305" s="18">
        <f t="shared" si="449"/>
        <v>0.92413184425812145</v>
      </c>
    </row>
    <row r="1306" spans="1:6" ht="15" customHeight="1" x14ac:dyDescent="0.25">
      <c r="A1306" s="15">
        <v>4</v>
      </c>
      <c r="B1306" s="15" t="s">
        <v>778</v>
      </c>
      <c r="C1306" s="20">
        <v>59</v>
      </c>
      <c r="D1306" s="20">
        <v>39876</v>
      </c>
      <c r="E1306" s="16">
        <v>34483</v>
      </c>
      <c r="F1306" s="18">
        <f t="shared" si="449"/>
        <v>0.8647557428026883</v>
      </c>
    </row>
    <row r="1307" spans="1:6" ht="15" customHeight="1" x14ac:dyDescent="0.25">
      <c r="A1307" s="15">
        <v>5</v>
      </c>
      <c r="B1307" s="15" t="s">
        <v>779</v>
      </c>
      <c r="C1307" s="20">
        <v>18</v>
      </c>
      <c r="D1307" s="20">
        <v>12604</v>
      </c>
      <c r="E1307" s="16">
        <v>11012</v>
      </c>
      <c r="F1307" s="18">
        <f t="shared" si="449"/>
        <v>0.87369089178038717</v>
      </c>
    </row>
    <row r="1308" spans="1:6" ht="15" customHeight="1" x14ac:dyDescent="0.25">
      <c r="A1308" s="15">
        <v>6</v>
      </c>
      <c r="B1308" s="15" t="s">
        <v>780</v>
      </c>
      <c r="C1308" s="20">
        <v>23</v>
      </c>
      <c r="D1308" s="20">
        <v>15074</v>
      </c>
      <c r="E1308" s="16">
        <v>13058</v>
      </c>
      <c r="F1308" s="18">
        <f t="shared" si="449"/>
        <v>0.86625978506036883</v>
      </c>
    </row>
    <row r="1309" spans="1:6" ht="15" customHeight="1" x14ac:dyDescent="0.25">
      <c r="A1309" s="15">
        <v>7</v>
      </c>
      <c r="B1309" s="15" t="s">
        <v>781</v>
      </c>
      <c r="C1309" s="20">
        <v>33</v>
      </c>
      <c r="D1309" s="20">
        <v>24546</v>
      </c>
      <c r="E1309" s="16">
        <v>22165</v>
      </c>
      <c r="F1309" s="18">
        <f t="shared" si="449"/>
        <v>0.90299845188625438</v>
      </c>
    </row>
    <row r="1310" spans="1:6" ht="15" customHeight="1" x14ac:dyDescent="0.25">
      <c r="A1310" s="15">
        <v>8</v>
      </c>
      <c r="B1310" s="15" t="s">
        <v>783</v>
      </c>
      <c r="C1310" s="20">
        <v>23</v>
      </c>
      <c r="D1310" s="20">
        <v>15920</v>
      </c>
      <c r="E1310" s="16">
        <v>14096</v>
      </c>
      <c r="F1310" s="18">
        <f t="shared" si="449"/>
        <v>0.88542713567839193</v>
      </c>
    </row>
    <row r="1311" spans="1:6" ht="23.1" customHeight="1" x14ac:dyDescent="0.25">
      <c r="A1311" s="22"/>
      <c r="B1311" s="22" t="s">
        <v>22</v>
      </c>
      <c r="C1311" s="21"/>
      <c r="D1311" s="21"/>
      <c r="E1311" s="21"/>
      <c r="F1311" s="18"/>
    </row>
    <row r="1312" spans="1:6" ht="15" customHeight="1" x14ac:dyDescent="0.25">
      <c r="A1312" s="15"/>
      <c r="B1312" s="24" t="s">
        <v>1441</v>
      </c>
      <c r="C1312" s="20">
        <v>302</v>
      </c>
      <c r="D1312" s="20">
        <v>277288</v>
      </c>
      <c r="E1312" s="16">
        <v>236317</v>
      </c>
      <c r="F1312" s="18">
        <f>SUM(E1312/D1312)</f>
        <v>0.85224387640287358</v>
      </c>
    </row>
    <row r="1313" spans="1:6" ht="23.1" customHeight="1" x14ac:dyDescent="0.25">
      <c r="A1313" s="15"/>
      <c r="B1313" s="22" t="s">
        <v>22</v>
      </c>
      <c r="C1313" s="16"/>
      <c r="D1313" s="16"/>
      <c r="E1313" s="16"/>
      <c r="F1313" s="18"/>
    </row>
    <row r="1314" spans="1:6" ht="15" customHeight="1" x14ac:dyDescent="0.25">
      <c r="A1314" s="15"/>
      <c r="B1314" s="24" t="s">
        <v>1440</v>
      </c>
      <c r="C1314" s="20">
        <v>271</v>
      </c>
      <c r="D1314" s="20">
        <v>236853</v>
      </c>
      <c r="E1314" s="16">
        <v>207598</v>
      </c>
      <c r="F1314" s="18">
        <f>SUM(E1314/D1314)</f>
        <v>0.87648457059864138</v>
      </c>
    </row>
    <row r="1315" spans="1:6" ht="23.1" customHeight="1" x14ac:dyDescent="0.25">
      <c r="A1315" s="22"/>
      <c r="B1315" s="22" t="s">
        <v>808</v>
      </c>
      <c r="C1315" s="21"/>
      <c r="D1315" s="21"/>
      <c r="E1315" s="21"/>
      <c r="F1315" s="18"/>
    </row>
    <row r="1316" spans="1:6" ht="23.1" customHeight="1" x14ac:dyDescent="0.25">
      <c r="A1316" s="15"/>
      <c r="B1316" s="30" t="s">
        <v>1442</v>
      </c>
      <c r="C1316" s="31">
        <f>SUM(C1317:C1318)</f>
        <v>790</v>
      </c>
      <c r="D1316" s="31">
        <f>SUM(D1317:D1318)</f>
        <v>721469</v>
      </c>
      <c r="E1316" s="31">
        <f>SUM(E1317:E1318)</f>
        <v>609789</v>
      </c>
      <c r="F1316" s="13">
        <f t="shared" ref="F1316:F1318" si="454">SUM(E1316/D1316)</f>
        <v>0.84520471427046762</v>
      </c>
    </row>
    <row r="1317" spans="1:6" ht="15" customHeight="1" x14ac:dyDescent="0.25">
      <c r="A1317" s="15"/>
      <c r="B1317" s="15" t="s">
        <v>6</v>
      </c>
      <c r="C1317" s="19">
        <v>359</v>
      </c>
      <c r="D1317" s="19">
        <v>326007</v>
      </c>
      <c r="E1317" s="16">
        <v>268406</v>
      </c>
      <c r="F1317" s="18">
        <f t="shared" si="454"/>
        <v>0.82331360983046376</v>
      </c>
    </row>
    <row r="1318" spans="1:6" ht="15" customHeight="1" x14ac:dyDescent="0.25">
      <c r="A1318" s="15"/>
      <c r="B1318" s="15" t="s">
        <v>7</v>
      </c>
      <c r="C1318" s="20">
        <v>431</v>
      </c>
      <c r="D1318" s="20">
        <v>395462</v>
      </c>
      <c r="E1318" s="16">
        <v>341383</v>
      </c>
      <c r="F1318" s="18">
        <f t="shared" si="454"/>
        <v>0.86325108354279301</v>
      </c>
    </row>
    <row r="1319" spans="1:6" ht="23.1" customHeight="1" x14ac:dyDescent="0.25">
      <c r="A1319" s="140" t="s">
        <v>828</v>
      </c>
      <c r="B1319" s="140"/>
      <c r="C1319" s="14">
        <f t="shared" ref="C1319" si="455">SUM(C1332+C1359+C1408+C1435+C1464+C1320)</f>
        <v>5670</v>
      </c>
      <c r="D1319" s="14">
        <f t="shared" ref="D1319:E1319" si="456">SUM(D1332+D1359+D1408+D1435+D1464+D1320)</f>
        <v>3259554</v>
      </c>
      <c r="E1319" s="14">
        <f t="shared" si="456"/>
        <v>2747755</v>
      </c>
      <c r="F1319" s="13">
        <f t="shared" ref="F1319:F1320" si="457">SUM(E1319/D1319)</f>
        <v>0.84298496051913852</v>
      </c>
    </row>
    <row r="1320" spans="1:6" ht="23.1" customHeight="1" x14ac:dyDescent="0.25">
      <c r="A1320" s="22"/>
      <c r="B1320" s="22" t="s">
        <v>829</v>
      </c>
      <c r="C1320" s="14">
        <f t="shared" ref="C1320" si="458">SUM(C1322+C1326)</f>
        <v>196</v>
      </c>
      <c r="D1320" s="14">
        <f t="shared" ref="D1320:E1320" si="459">SUM(D1322+D1326)</f>
        <v>124191</v>
      </c>
      <c r="E1320" s="14">
        <f t="shared" si="459"/>
        <v>103589</v>
      </c>
      <c r="F1320" s="13">
        <f t="shared" si="457"/>
        <v>0.83411036226457635</v>
      </c>
    </row>
    <row r="1321" spans="1:6" ht="23.1" customHeight="1" x14ac:dyDescent="0.25">
      <c r="A1321" s="22"/>
      <c r="B1321" s="22" t="s">
        <v>22</v>
      </c>
      <c r="C1321" s="14"/>
      <c r="D1321" s="14"/>
      <c r="E1321" s="14"/>
      <c r="F1321" s="18"/>
    </row>
    <row r="1322" spans="1:6" ht="23.1" customHeight="1" x14ac:dyDescent="0.25">
      <c r="A1322" s="22"/>
      <c r="B1322" s="22" t="s">
        <v>23</v>
      </c>
      <c r="C1322" s="14">
        <f t="shared" ref="C1322" si="460">SUM(C1323:C1325)</f>
        <v>98</v>
      </c>
      <c r="D1322" s="14">
        <f t="shared" ref="D1322:E1322" si="461">SUM(D1323:D1325)</f>
        <v>61929</v>
      </c>
      <c r="E1322" s="14">
        <f t="shared" si="461"/>
        <v>51885</v>
      </c>
      <c r="F1322" s="13">
        <f t="shared" ref="F1322:F1332" si="462">SUM(E1322/D1322)</f>
        <v>0.8378142711815143</v>
      </c>
    </row>
    <row r="1323" spans="1:6" ht="15" customHeight="1" x14ac:dyDescent="0.25">
      <c r="A1323" s="15">
        <v>1</v>
      </c>
      <c r="B1323" s="15" t="s">
        <v>830</v>
      </c>
      <c r="C1323" s="20">
        <v>22</v>
      </c>
      <c r="D1323" s="20">
        <v>12838</v>
      </c>
      <c r="E1323" s="17">
        <v>11097</v>
      </c>
      <c r="F1323" s="18">
        <f t="shared" si="462"/>
        <v>0.86438697616451166</v>
      </c>
    </row>
    <row r="1324" spans="1:6" ht="15" customHeight="1" x14ac:dyDescent="0.25">
      <c r="A1324" s="15">
        <v>2</v>
      </c>
      <c r="B1324" s="15" t="s">
        <v>831</v>
      </c>
      <c r="C1324" s="20">
        <v>27</v>
      </c>
      <c r="D1324" s="20">
        <v>14761</v>
      </c>
      <c r="E1324" s="17">
        <v>12135</v>
      </c>
      <c r="F1324" s="18">
        <f t="shared" si="462"/>
        <v>0.82209877379581331</v>
      </c>
    </row>
    <row r="1325" spans="1:6" ht="15" customHeight="1" x14ac:dyDescent="0.25">
      <c r="A1325" s="15">
        <v>3</v>
      </c>
      <c r="B1325" s="15" t="s">
        <v>1451</v>
      </c>
      <c r="C1325" s="20">
        <v>49</v>
      </c>
      <c r="D1325" s="20">
        <v>34330</v>
      </c>
      <c r="E1325" s="17">
        <v>28653</v>
      </c>
      <c r="F1325" s="18">
        <f t="shared" si="462"/>
        <v>0.83463443052723563</v>
      </c>
    </row>
    <row r="1326" spans="1:6" ht="23.1" customHeight="1" x14ac:dyDescent="0.25">
      <c r="A1326" s="22"/>
      <c r="B1326" s="22" t="s">
        <v>39</v>
      </c>
      <c r="C1326" s="14">
        <f t="shared" ref="C1326" si="463">SUM(C1327:C1331)</f>
        <v>98</v>
      </c>
      <c r="D1326" s="14">
        <f t="shared" ref="D1326:E1326" si="464">SUM(D1327:D1331)</f>
        <v>62262</v>
      </c>
      <c r="E1326" s="14">
        <f t="shared" si="464"/>
        <v>51704</v>
      </c>
      <c r="F1326" s="13">
        <f t="shared" si="462"/>
        <v>0.83042626321030488</v>
      </c>
    </row>
    <row r="1327" spans="1:6" ht="15" customHeight="1" x14ac:dyDescent="0.25">
      <c r="A1327" s="15">
        <v>1</v>
      </c>
      <c r="B1327" s="15" t="s">
        <v>832</v>
      </c>
      <c r="C1327" s="20">
        <v>18</v>
      </c>
      <c r="D1327" s="20">
        <v>13858</v>
      </c>
      <c r="E1327" s="17">
        <v>11701</v>
      </c>
      <c r="F1327" s="18">
        <f t="shared" si="462"/>
        <v>0.8443498340308847</v>
      </c>
    </row>
    <row r="1328" spans="1:6" ht="15" customHeight="1" x14ac:dyDescent="0.25">
      <c r="A1328" s="15">
        <v>2</v>
      </c>
      <c r="B1328" s="15" t="s">
        <v>833</v>
      </c>
      <c r="C1328" s="20">
        <v>21</v>
      </c>
      <c r="D1328" s="20">
        <v>15342</v>
      </c>
      <c r="E1328" s="17">
        <v>13174</v>
      </c>
      <c r="F1328" s="18">
        <f t="shared" si="462"/>
        <v>0.85868856733150822</v>
      </c>
    </row>
    <row r="1329" spans="1:6" ht="15" customHeight="1" x14ac:dyDescent="0.25">
      <c r="A1329" s="15">
        <v>3</v>
      </c>
      <c r="B1329" s="15" t="s">
        <v>834</v>
      </c>
      <c r="C1329" s="20">
        <v>24</v>
      </c>
      <c r="D1329" s="20">
        <v>16966</v>
      </c>
      <c r="E1329" s="17">
        <v>13860</v>
      </c>
      <c r="F1329" s="18">
        <f t="shared" si="462"/>
        <v>0.81692797359424729</v>
      </c>
    </row>
    <row r="1330" spans="1:6" ht="15" customHeight="1" x14ac:dyDescent="0.25">
      <c r="A1330" s="15">
        <v>4</v>
      </c>
      <c r="B1330" s="15" t="s">
        <v>835</v>
      </c>
      <c r="C1330" s="20">
        <v>19</v>
      </c>
      <c r="D1330" s="20">
        <v>10946</v>
      </c>
      <c r="E1330" s="17">
        <v>8706</v>
      </c>
      <c r="F1330" s="18">
        <f t="shared" si="462"/>
        <v>0.79535903526402341</v>
      </c>
    </row>
    <row r="1331" spans="1:6" ht="15" customHeight="1" x14ac:dyDescent="0.25">
      <c r="A1331" s="15">
        <v>5</v>
      </c>
      <c r="B1331" s="15" t="s">
        <v>836</v>
      </c>
      <c r="C1331" s="20">
        <v>16</v>
      </c>
      <c r="D1331" s="20">
        <v>5150</v>
      </c>
      <c r="E1331" s="17">
        <v>4263</v>
      </c>
      <c r="F1331" s="18">
        <f t="shared" si="462"/>
        <v>0.82776699029126211</v>
      </c>
    </row>
    <row r="1332" spans="1:6" ht="23.1" customHeight="1" x14ac:dyDescent="0.25">
      <c r="A1332" s="22"/>
      <c r="B1332" s="22" t="s">
        <v>837</v>
      </c>
      <c r="C1332" s="14">
        <f t="shared" ref="C1332" si="465">SUM(C1334+C1346)</f>
        <v>693</v>
      </c>
      <c r="D1332" s="14">
        <f t="shared" ref="D1332:E1332" si="466">SUM(D1334+D1346)</f>
        <v>359570</v>
      </c>
      <c r="E1332" s="14">
        <f t="shared" si="466"/>
        <v>309579</v>
      </c>
      <c r="F1332" s="13">
        <f t="shared" si="462"/>
        <v>0.86097004755680395</v>
      </c>
    </row>
    <row r="1333" spans="1:6" ht="23.1" customHeight="1" x14ac:dyDescent="0.25">
      <c r="A1333" s="22"/>
      <c r="B1333" s="22" t="s">
        <v>22</v>
      </c>
      <c r="C1333" s="14"/>
      <c r="D1333" s="14"/>
      <c r="E1333" s="14"/>
      <c r="F1333" s="18"/>
    </row>
    <row r="1334" spans="1:6" ht="23.1" customHeight="1" x14ac:dyDescent="0.25">
      <c r="A1334" s="22"/>
      <c r="B1334" s="22" t="s">
        <v>23</v>
      </c>
      <c r="C1334" s="14">
        <f t="shared" ref="C1334" si="467">SUM(C1335:C1345)</f>
        <v>361</v>
      </c>
      <c r="D1334" s="14">
        <f t="shared" ref="D1334:E1334" si="468">SUM(D1335:D1345)</f>
        <v>204997</v>
      </c>
      <c r="E1334" s="14">
        <f t="shared" si="468"/>
        <v>176549</v>
      </c>
      <c r="F1334" s="13">
        <f t="shared" ref="F1334:F1365" si="469">SUM(E1334/D1334)</f>
        <v>0.86122723747176788</v>
      </c>
    </row>
    <row r="1335" spans="1:6" ht="15" customHeight="1" x14ac:dyDescent="0.25">
      <c r="A1335" s="15">
        <v>1</v>
      </c>
      <c r="B1335" s="15" t="s">
        <v>838</v>
      </c>
      <c r="C1335" s="20">
        <v>26</v>
      </c>
      <c r="D1335" s="20">
        <v>12160</v>
      </c>
      <c r="E1335" s="17">
        <v>10595</v>
      </c>
      <c r="F1335" s="18">
        <f t="shared" si="469"/>
        <v>0.87129934210526316</v>
      </c>
    </row>
    <row r="1336" spans="1:6" ht="15" customHeight="1" x14ac:dyDescent="0.25">
      <c r="A1336" s="15">
        <v>2</v>
      </c>
      <c r="B1336" s="15" t="s">
        <v>839</v>
      </c>
      <c r="C1336" s="32">
        <v>31</v>
      </c>
      <c r="D1336" s="32">
        <v>17166</v>
      </c>
      <c r="E1336" s="17">
        <v>15166</v>
      </c>
      <c r="F1336" s="18">
        <f t="shared" si="469"/>
        <v>0.88349062099499009</v>
      </c>
    </row>
    <row r="1337" spans="1:6" ht="15" customHeight="1" x14ac:dyDescent="0.25">
      <c r="A1337" s="15">
        <v>3</v>
      </c>
      <c r="B1337" s="15" t="s">
        <v>41</v>
      </c>
      <c r="C1337" s="32">
        <v>55</v>
      </c>
      <c r="D1337" s="32">
        <v>32402</v>
      </c>
      <c r="E1337" s="17">
        <v>26650</v>
      </c>
      <c r="F1337" s="18">
        <f t="shared" si="469"/>
        <v>0.822480093821369</v>
      </c>
    </row>
    <row r="1338" spans="1:6" ht="15" customHeight="1" x14ac:dyDescent="0.25">
      <c r="A1338" s="23">
        <v>4</v>
      </c>
      <c r="B1338" s="15" t="s">
        <v>840</v>
      </c>
      <c r="C1338" s="20">
        <v>14</v>
      </c>
      <c r="D1338" s="20">
        <v>7564</v>
      </c>
      <c r="E1338" s="17">
        <v>6763</v>
      </c>
      <c r="F1338" s="18">
        <f t="shared" si="469"/>
        <v>0.89410364886303539</v>
      </c>
    </row>
    <row r="1339" spans="1:6" ht="15" customHeight="1" x14ac:dyDescent="0.25">
      <c r="A1339" s="23">
        <v>5</v>
      </c>
      <c r="B1339" s="15" t="s">
        <v>841</v>
      </c>
      <c r="C1339" s="20">
        <v>12</v>
      </c>
      <c r="D1339" s="20">
        <v>3669</v>
      </c>
      <c r="E1339" s="17">
        <v>3118</v>
      </c>
      <c r="F1339" s="18">
        <f t="shared" si="469"/>
        <v>0.84982284001090214</v>
      </c>
    </row>
    <row r="1340" spans="1:6" ht="15" customHeight="1" x14ac:dyDescent="0.25">
      <c r="A1340" s="15">
        <v>6</v>
      </c>
      <c r="B1340" s="15" t="s">
        <v>842</v>
      </c>
      <c r="C1340" s="20">
        <v>50</v>
      </c>
      <c r="D1340" s="20">
        <v>29016</v>
      </c>
      <c r="E1340" s="17">
        <v>24408</v>
      </c>
      <c r="F1340" s="18">
        <f t="shared" si="469"/>
        <v>0.84119106699751856</v>
      </c>
    </row>
    <row r="1341" spans="1:6" ht="15" customHeight="1" x14ac:dyDescent="0.25">
      <c r="A1341" s="23">
        <v>7</v>
      </c>
      <c r="B1341" s="15" t="s">
        <v>843</v>
      </c>
      <c r="C1341" s="20">
        <v>20</v>
      </c>
      <c r="D1341" s="20">
        <v>10852</v>
      </c>
      <c r="E1341" s="17">
        <v>9405</v>
      </c>
      <c r="F1341" s="18">
        <f t="shared" si="469"/>
        <v>0.86666052340582378</v>
      </c>
    </row>
    <row r="1342" spans="1:6" ht="15" customHeight="1" x14ac:dyDescent="0.25">
      <c r="A1342" s="15">
        <v>8</v>
      </c>
      <c r="B1342" s="15" t="s">
        <v>1259</v>
      </c>
      <c r="C1342" s="20">
        <v>20</v>
      </c>
      <c r="D1342" s="20">
        <v>12892</v>
      </c>
      <c r="E1342" s="17">
        <v>11413</v>
      </c>
      <c r="F1342" s="18">
        <f t="shared" si="469"/>
        <v>0.88527769159168479</v>
      </c>
    </row>
    <row r="1343" spans="1:6" ht="15" customHeight="1" x14ac:dyDescent="0.25">
      <c r="A1343" s="15">
        <v>9</v>
      </c>
      <c r="B1343" s="15" t="s">
        <v>844</v>
      </c>
      <c r="C1343" s="20">
        <v>23</v>
      </c>
      <c r="D1343" s="20">
        <v>12213</v>
      </c>
      <c r="E1343" s="17">
        <v>10410</v>
      </c>
      <c r="F1343" s="18">
        <f t="shared" si="469"/>
        <v>0.85237042495701298</v>
      </c>
    </row>
    <row r="1344" spans="1:6" ht="15" customHeight="1" x14ac:dyDescent="0.25">
      <c r="A1344" s="23">
        <v>10</v>
      </c>
      <c r="B1344" s="15" t="s">
        <v>845</v>
      </c>
      <c r="C1344" s="20">
        <v>26</v>
      </c>
      <c r="D1344" s="20">
        <v>15002</v>
      </c>
      <c r="E1344" s="17">
        <v>13094</v>
      </c>
      <c r="F1344" s="18">
        <f t="shared" si="469"/>
        <v>0.87281695773896817</v>
      </c>
    </row>
    <row r="1345" spans="1:6" ht="15" customHeight="1" x14ac:dyDescent="0.25">
      <c r="A1345" s="15"/>
      <c r="B1345" s="24" t="s">
        <v>1452</v>
      </c>
      <c r="C1345" s="32">
        <v>84</v>
      </c>
      <c r="D1345" s="32">
        <v>52061</v>
      </c>
      <c r="E1345" s="17">
        <v>45527</v>
      </c>
      <c r="F1345" s="18">
        <f t="shared" si="469"/>
        <v>0.87449338276252853</v>
      </c>
    </row>
    <row r="1346" spans="1:6" ht="23.1" customHeight="1" x14ac:dyDescent="0.25">
      <c r="A1346" s="22"/>
      <c r="B1346" s="22" t="s">
        <v>39</v>
      </c>
      <c r="C1346" s="14">
        <f t="shared" ref="C1346" si="470">SUM(C1347:C1358)</f>
        <v>332</v>
      </c>
      <c r="D1346" s="14">
        <f t="shared" ref="D1346:E1346" si="471">SUM(D1347:D1358)</f>
        <v>154573</v>
      </c>
      <c r="E1346" s="14">
        <f t="shared" si="471"/>
        <v>133030</v>
      </c>
      <c r="F1346" s="13">
        <f t="shared" si="469"/>
        <v>0.86062895848563459</v>
      </c>
    </row>
    <row r="1347" spans="1:6" ht="15" customHeight="1" x14ac:dyDescent="0.25">
      <c r="A1347" s="23">
        <v>1</v>
      </c>
      <c r="B1347" s="15" t="s">
        <v>846</v>
      </c>
      <c r="C1347" s="32">
        <v>18</v>
      </c>
      <c r="D1347" s="32">
        <v>10783</v>
      </c>
      <c r="E1347" s="17">
        <v>9238</v>
      </c>
      <c r="F1347" s="18">
        <f t="shared" si="469"/>
        <v>0.85671890939441708</v>
      </c>
    </row>
    <row r="1348" spans="1:6" ht="15" customHeight="1" x14ac:dyDescent="0.25">
      <c r="A1348" s="23">
        <v>2</v>
      </c>
      <c r="B1348" s="15" t="s">
        <v>847</v>
      </c>
      <c r="C1348" s="20">
        <v>16</v>
      </c>
      <c r="D1348" s="20">
        <v>7924</v>
      </c>
      <c r="E1348" s="17">
        <v>6908</v>
      </c>
      <c r="F1348" s="18">
        <f t="shared" si="469"/>
        <v>0.87178192831903079</v>
      </c>
    </row>
    <row r="1349" spans="1:6" ht="15" customHeight="1" x14ac:dyDescent="0.25">
      <c r="A1349" s="15">
        <v>3</v>
      </c>
      <c r="B1349" s="15" t="s">
        <v>848</v>
      </c>
      <c r="C1349" s="20">
        <v>30</v>
      </c>
      <c r="D1349" s="20">
        <v>10705</v>
      </c>
      <c r="E1349" s="17">
        <v>9206</v>
      </c>
      <c r="F1349" s="18">
        <f t="shared" si="469"/>
        <v>0.85997197571228401</v>
      </c>
    </row>
    <row r="1350" spans="1:6" ht="15" customHeight="1" x14ac:dyDescent="0.25">
      <c r="A1350" s="15">
        <v>4</v>
      </c>
      <c r="B1350" s="15" t="s">
        <v>849</v>
      </c>
      <c r="C1350" s="20">
        <v>21</v>
      </c>
      <c r="D1350" s="20">
        <v>10630</v>
      </c>
      <c r="E1350" s="17">
        <v>8920</v>
      </c>
      <c r="F1350" s="18">
        <f t="shared" si="469"/>
        <v>0.83913452492944496</v>
      </c>
    </row>
    <row r="1351" spans="1:6" ht="15" customHeight="1" x14ac:dyDescent="0.25">
      <c r="A1351" s="23">
        <v>5</v>
      </c>
      <c r="B1351" s="15" t="s">
        <v>850</v>
      </c>
      <c r="C1351" s="20">
        <v>71</v>
      </c>
      <c r="D1351" s="20">
        <v>36365</v>
      </c>
      <c r="E1351" s="17">
        <v>31763</v>
      </c>
      <c r="F1351" s="18">
        <f t="shared" si="469"/>
        <v>0.8734497456345387</v>
      </c>
    </row>
    <row r="1352" spans="1:6" ht="15" customHeight="1" x14ac:dyDescent="0.25">
      <c r="A1352" s="15">
        <v>6</v>
      </c>
      <c r="B1352" s="15" t="s">
        <v>851</v>
      </c>
      <c r="C1352" s="20">
        <v>13</v>
      </c>
      <c r="D1352" s="20">
        <v>7047</v>
      </c>
      <c r="E1352" s="17">
        <v>6054</v>
      </c>
      <c r="F1352" s="18">
        <f t="shared" si="469"/>
        <v>0.85908897403150275</v>
      </c>
    </row>
    <row r="1353" spans="1:6" ht="15" customHeight="1" x14ac:dyDescent="0.25">
      <c r="A1353" s="15">
        <v>7</v>
      </c>
      <c r="B1353" s="15" t="s">
        <v>852</v>
      </c>
      <c r="C1353" s="20">
        <v>20</v>
      </c>
      <c r="D1353" s="20">
        <v>10573</v>
      </c>
      <c r="E1353" s="17">
        <v>9125</v>
      </c>
      <c r="F1353" s="18">
        <f t="shared" si="469"/>
        <v>0.86304738484819821</v>
      </c>
    </row>
    <row r="1354" spans="1:6" ht="15" customHeight="1" x14ac:dyDescent="0.25">
      <c r="A1354" s="23">
        <v>8</v>
      </c>
      <c r="B1354" s="15" t="s">
        <v>853</v>
      </c>
      <c r="C1354" s="20">
        <v>35</v>
      </c>
      <c r="D1354" s="20">
        <v>14419</v>
      </c>
      <c r="E1354" s="17">
        <v>12621</v>
      </c>
      <c r="F1354" s="18">
        <f t="shared" si="469"/>
        <v>0.87530341909979892</v>
      </c>
    </row>
    <row r="1355" spans="1:6" ht="15" customHeight="1" x14ac:dyDescent="0.25">
      <c r="A1355" s="23">
        <v>9</v>
      </c>
      <c r="B1355" s="15" t="s">
        <v>854</v>
      </c>
      <c r="C1355" s="20">
        <v>22</v>
      </c>
      <c r="D1355" s="20">
        <v>11669</v>
      </c>
      <c r="E1355" s="17">
        <v>10359</v>
      </c>
      <c r="F1355" s="18">
        <f t="shared" si="469"/>
        <v>0.88773673836661238</v>
      </c>
    </row>
    <row r="1356" spans="1:6" ht="15" customHeight="1" x14ac:dyDescent="0.25">
      <c r="A1356" s="15">
        <v>10</v>
      </c>
      <c r="B1356" s="15" t="s">
        <v>562</v>
      </c>
      <c r="C1356" s="20">
        <v>16</v>
      </c>
      <c r="D1356" s="20">
        <v>6297</v>
      </c>
      <c r="E1356" s="17">
        <v>5567</v>
      </c>
      <c r="F1356" s="18">
        <f t="shared" si="469"/>
        <v>0.88407178021279975</v>
      </c>
    </row>
    <row r="1357" spans="1:6" ht="15" customHeight="1" x14ac:dyDescent="0.25">
      <c r="A1357" s="15">
        <v>11</v>
      </c>
      <c r="B1357" s="15" t="s">
        <v>855</v>
      </c>
      <c r="C1357" s="20">
        <v>26</v>
      </c>
      <c r="D1357" s="20">
        <v>10908</v>
      </c>
      <c r="E1357" s="17">
        <v>9387</v>
      </c>
      <c r="F1357" s="18">
        <f t="shared" si="469"/>
        <v>0.86056105610561051</v>
      </c>
    </row>
    <row r="1358" spans="1:6" ht="15" customHeight="1" x14ac:dyDescent="0.25">
      <c r="A1358" s="23">
        <v>12</v>
      </c>
      <c r="B1358" s="15" t="s">
        <v>856</v>
      </c>
      <c r="C1358" s="20">
        <v>44</v>
      </c>
      <c r="D1358" s="20">
        <v>17253</v>
      </c>
      <c r="E1358" s="17">
        <v>13882</v>
      </c>
      <c r="F1358" s="18">
        <f t="shared" si="469"/>
        <v>0.80461369037268882</v>
      </c>
    </row>
    <row r="1359" spans="1:6" ht="23.1" customHeight="1" x14ac:dyDescent="0.25">
      <c r="A1359" s="22"/>
      <c r="B1359" s="22" t="s">
        <v>857</v>
      </c>
      <c r="C1359" s="14">
        <f t="shared" ref="C1359" si="472">SUM(C1360+C1369+C1384+C1390+C1398)</f>
        <v>2257</v>
      </c>
      <c r="D1359" s="14">
        <f t="shared" ref="D1359:E1359" si="473">SUM(D1360+D1369+D1384+D1390+D1398)</f>
        <v>1401054</v>
      </c>
      <c r="E1359" s="14">
        <f t="shared" si="473"/>
        <v>1204703</v>
      </c>
      <c r="F1359" s="13">
        <f t="shared" si="469"/>
        <v>0.85985479503288242</v>
      </c>
    </row>
    <row r="1360" spans="1:6" ht="23.1" customHeight="1" x14ac:dyDescent="0.25">
      <c r="A1360" s="22"/>
      <c r="B1360" s="22" t="s">
        <v>6</v>
      </c>
      <c r="C1360" s="14">
        <f t="shared" ref="C1360" si="474">SUM(C1361:C1368)</f>
        <v>529</v>
      </c>
      <c r="D1360" s="14">
        <f t="shared" ref="D1360:E1360" si="475">SUM(D1361:D1368)</f>
        <v>335609</v>
      </c>
      <c r="E1360" s="14">
        <f t="shared" si="475"/>
        <v>283804</v>
      </c>
      <c r="F1360" s="13">
        <f t="shared" si="469"/>
        <v>0.84563882375025701</v>
      </c>
    </row>
    <row r="1361" spans="1:6" ht="15" customHeight="1" x14ac:dyDescent="0.25">
      <c r="A1361" s="15">
        <v>1</v>
      </c>
      <c r="B1361" s="15" t="s">
        <v>858</v>
      </c>
      <c r="C1361" s="32">
        <v>67</v>
      </c>
      <c r="D1361" s="32">
        <v>39332</v>
      </c>
      <c r="E1361" s="17">
        <v>33532</v>
      </c>
      <c r="F1361" s="18">
        <f t="shared" si="469"/>
        <v>0.85253737414827624</v>
      </c>
    </row>
    <row r="1362" spans="1:6" ht="15" customHeight="1" x14ac:dyDescent="0.25">
      <c r="A1362" s="15">
        <v>2</v>
      </c>
      <c r="B1362" s="15" t="s">
        <v>859</v>
      </c>
      <c r="C1362" s="20">
        <v>33</v>
      </c>
      <c r="D1362" s="20">
        <v>20897</v>
      </c>
      <c r="E1362" s="17">
        <v>18452</v>
      </c>
      <c r="F1362" s="18">
        <f t="shared" si="469"/>
        <v>0.8829975594582955</v>
      </c>
    </row>
    <row r="1363" spans="1:6" ht="15" customHeight="1" x14ac:dyDescent="0.25">
      <c r="A1363" s="15">
        <v>3</v>
      </c>
      <c r="B1363" s="15" t="s">
        <v>860</v>
      </c>
      <c r="C1363" s="32">
        <v>62</v>
      </c>
      <c r="D1363" s="32">
        <v>43669</v>
      </c>
      <c r="E1363" s="17">
        <v>37339</v>
      </c>
      <c r="F1363" s="18">
        <f t="shared" si="469"/>
        <v>0.85504591357713711</v>
      </c>
    </row>
    <row r="1364" spans="1:6" ht="15" customHeight="1" x14ac:dyDescent="0.25">
      <c r="A1364" s="15">
        <v>4</v>
      </c>
      <c r="B1364" s="15" t="s">
        <v>317</v>
      </c>
      <c r="C1364" s="32">
        <v>28</v>
      </c>
      <c r="D1364" s="32">
        <v>15666</v>
      </c>
      <c r="E1364" s="17">
        <v>13707</v>
      </c>
      <c r="F1364" s="18">
        <f t="shared" si="469"/>
        <v>0.87495212562236691</v>
      </c>
    </row>
    <row r="1365" spans="1:6" ht="15" customHeight="1" x14ac:dyDescent="0.25">
      <c r="A1365" s="15">
        <v>5</v>
      </c>
      <c r="B1365" s="15" t="s">
        <v>272</v>
      </c>
      <c r="C1365" s="32">
        <v>26</v>
      </c>
      <c r="D1365" s="32">
        <v>15436</v>
      </c>
      <c r="E1365" s="17">
        <v>13622</v>
      </c>
      <c r="F1365" s="18">
        <f t="shared" si="469"/>
        <v>0.88248250842187093</v>
      </c>
    </row>
    <row r="1366" spans="1:6" ht="15" customHeight="1" x14ac:dyDescent="0.25">
      <c r="A1366" s="15">
        <v>6</v>
      </c>
      <c r="B1366" s="15" t="s">
        <v>861</v>
      </c>
      <c r="C1366" s="20">
        <v>67</v>
      </c>
      <c r="D1366" s="20">
        <v>38759</v>
      </c>
      <c r="E1366" s="17">
        <v>34325</v>
      </c>
      <c r="F1366" s="18">
        <f t="shared" ref="F1366:F1397" si="476">SUM(E1366/D1366)</f>
        <v>0.88560076369359375</v>
      </c>
    </row>
    <row r="1367" spans="1:6" ht="15" customHeight="1" x14ac:dyDescent="0.25">
      <c r="A1367" s="15">
        <v>7</v>
      </c>
      <c r="B1367" s="15" t="s">
        <v>862</v>
      </c>
      <c r="C1367" s="32">
        <v>23</v>
      </c>
      <c r="D1367" s="32">
        <v>15557</v>
      </c>
      <c r="E1367" s="17">
        <v>13696</v>
      </c>
      <c r="F1367" s="18">
        <f t="shared" si="476"/>
        <v>0.88037539371344087</v>
      </c>
    </row>
    <row r="1368" spans="1:6" ht="15" customHeight="1" x14ac:dyDescent="0.25">
      <c r="A1368" s="15"/>
      <c r="B1368" s="24" t="s">
        <v>1453</v>
      </c>
      <c r="C1368" s="33">
        <v>223</v>
      </c>
      <c r="D1368" s="33">
        <v>146293</v>
      </c>
      <c r="E1368" s="17">
        <v>119131</v>
      </c>
      <c r="F1368" s="18">
        <f t="shared" si="476"/>
        <v>0.81433151278598426</v>
      </c>
    </row>
    <row r="1369" spans="1:6" ht="23.1" customHeight="1" x14ac:dyDescent="0.25">
      <c r="A1369" s="22"/>
      <c r="B1369" s="22" t="s">
        <v>7</v>
      </c>
      <c r="C1369" s="14">
        <f t="shared" ref="C1369" si="477">SUM(C1370:C1383)</f>
        <v>576</v>
      </c>
      <c r="D1369" s="14">
        <f t="shared" ref="D1369" si="478">SUM(D1370:D1383)</f>
        <v>305526</v>
      </c>
      <c r="E1369" s="14">
        <f>SUM(E1370:E1383)</f>
        <v>262254</v>
      </c>
      <c r="F1369" s="13">
        <f t="shared" si="476"/>
        <v>0.8583688458592722</v>
      </c>
    </row>
    <row r="1370" spans="1:6" ht="15" customHeight="1" x14ac:dyDescent="0.25">
      <c r="A1370" s="15">
        <v>1</v>
      </c>
      <c r="B1370" s="15" t="s">
        <v>863</v>
      </c>
      <c r="C1370" s="32">
        <v>43</v>
      </c>
      <c r="D1370" s="32">
        <v>25771</v>
      </c>
      <c r="E1370" s="17">
        <v>23109</v>
      </c>
      <c r="F1370" s="18">
        <f t="shared" si="476"/>
        <v>0.89670559931706184</v>
      </c>
    </row>
    <row r="1371" spans="1:6" ht="15" customHeight="1" x14ac:dyDescent="0.25">
      <c r="A1371" s="15">
        <v>2</v>
      </c>
      <c r="B1371" s="15" t="s">
        <v>864</v>
      </c>
      <c r="C1371" s="20">
        <v>82</v>
      </c>
      <c r="D1371" s="20">
        <v>36133</v>
      </c>
      <c r="E1371" s="17">
        <v>30592</v>
      </c>
      <c r="F1371" s="18">
        <f t="shared" si="476"/>
        <v>0.84664987684388238</v>
      </c>
    </row>
    <row r="1372" spans="1:6" ht="15" customHeight="1" x14ac:dyDescent="0.25">
      <c r="A1372" s="23">
        <v>3</v>
      </c>
      <c r="B1372" s="15" t="s">
        <v>865</v>
      </c>
      <c r="C1372" s="20">
        <v>35</v>
      </c>
      <c r="D1372" s="20">
        <v>23413</v>
      </c>
      <c r="E1372" s="17">
        <v>19389</v>
      </c>
      <c r="F1372" s="18">
        <f t="shared" si="476"/>
        <v>0.82812967154999362</v>
      </c>
    </row>
    <row r="1373" spans="1:6" ht="15" customHeight="1" x14ac:dyDescent="0.25">
      <c r="A1373" s="15">
        <v>4</v>
      </c>
      <c r="B1373" s="15" t="s">
        <v>866</v>
      </c>
      <c r="C1373" s="32">
        <v>61</v>
      </c>
      <c r="D1373" s="32">
        <v>38820</v>
      </c>
      <c r="E1373" s="17">
        <v>32653</v>
      </c>
      <c r="F1373" s="18">
        <f t="shared" si="476"/>
        <v>0.84113858835651723</v>
      </c>
    </row>
    <row r="1374" spans="1:6" ht="15" customHeight="1" x14ac:dyDescent="0.25">
      <c r="A1374" s="15">
        <v>5</v>
      </c>
      <c r="B1374" s="15" t="s">
        <v>867</v>
      </c>
      <c r="C1374" s="32">
        <v>66</v>
      </c>
      <c r="D1374" s="32">
        <v>26145</v>
      </c>
      <c r="E1374" s="17">
        <v>22586</v>
      </c>
      <c r="F1374" s="18">
        <f t="shared" si="476"/>
        <v>0.86387454580225664</v>
      </c>
    </row>
    <row r="1375" spans="1:6" ht="15" customHeight="1" x14ac:dyDescent="0.25">
      <c r="A1375" s="15">
        <v>6</v>
      </c>
      <c r="B1375" s="15" t="s">
        <v>868</v>
      </c>
      <c r="C1375" s="32">
        <v>57</v>
      </c>
      <c r="D1375" s="32">
        <v>33410</v>
      </c>
      <c r="E1375" s="17">
        <v>29189</v>
      </c>
      <c r="F1375" s="18">
        <f t="shared" si="476"/>
        <v>0.87366058066447172</v>
      </c>
    </row>
    <row r="1376" spans="1:6" ht="15" customHeight="1" x14ac:dyDescent="0.25">
      <c r="A1376" s="23">
        <v>7</v>
      </c>
      <c r="B1376" s="15" t="s">
        <v>869</v>
      </c>
      <c r="C1376" s="32">
        <v>57</v>
      </c>
      <c r="D1376" s="32">
        <v>32062</v>
      </c>
      <c r="E1376" s="17">
        <v>28239</v>
      </c>
      <c r="F1376" s="18">
        <f t="shared" si="476"/>
        <v>0.88076227309587674</v>
      </c>
    </row>
    <row r="1377" spans="1:6" ht="15" customHeight="1" x14ac:dyDescent="0.25">
      <c r="A1377" s="15">
        <v>8</v>
      </c>
      <c r="B1377" s="15" t="s">
        <v>870</v>
      </c>
      <c r="C1377" s="32">
        <v>26</v>
      </c>
      <c r="D1377" s="32">
        <v>11450</v>
      </c>
      <c r="E1377" s="17">
        <v>9917</v>
      </c>
      <c r="F1377" s="18">
        <f t="shared" si="476"/>
        <v>0.86611353711790395</v>
      </c>
    </row>
    <row r="1378" spans="1:6" ht="15" customHeight="1" x14ac:dyDescent="0.25">
      <c r="A1378" s="15">
        <v>9</v>
      </c>
      <c r="B1378" s="15" t="s">
        <v>42</v>
      </c>
      <c r="C1378" s="20">
        <v>36</v>
      </c>
      <c r="D1378" s="20">
        <v>14748</v>
      </c>
      <c r="E1378" s="17">
        <v>12861</v>
      </c>
      <c r="F1378" s="18">
        <f t="shared" si="476"/>
        <v>0.87205044751830751</v>
      </c>
    </row>
    <row r="1379" spans="1:6" ht="15" customHeight="1" x14ac:dyDescent="0.25">
      <c r="A1379" s="15">
        <v>10</v>
      </c>
      <c r="B1379" s="15" t="s">
        <v>871</v>
      </c>
      <c r="C1379" s="32">
        <v>33</v>
      </c>
      <c r="D1379" s="32">
        <v>16584</v>
      </c>
      <c r="E1379" s="17">
        <v>14331</v>
      </c>
      <c r="F1379" s="18">
        <f t="shared" si="476"/>
        <v>0.86414616497829233</v>
      </c>
    </row>
    <row r="1380" spans="1:6" ht="15" customHeight="1" x14ac:dyDescent="0.25">
      <c r="A1380" s="15">
        <v>11</v>
      </c>
      <c r="B1380" s="15" t="s">
        <v>872</v>
      </c>
      <c r="C1380" s="32">
        <v>22</v>
      </c>
      <c r="D1380" s="32">
        <v>14199</v>
      </c>
      <c r="E1380" s="17">
        <v>10812</v>
      </c>
      <c r="F1380" s="18">
        <f t="shared" si="476"/>
        <v>0.76146207479399963</v>
      </c>
    </row>
    <row r="1381" spans="1:6" ht="15" customHeight="1" x14ac:dyDescent="0.25">
      <c r="A1381" s="15">
        <v>12</v>
      </c>
      <c r="B1381" s="15" t="s">
        <v>873</v>
      </c>
      <c r="C1381" s="32">
        <v>29</v>
      </c>
      <c r="D1381" s="32">
        <v>15287</v>
      </c>
      <c r="E1381" s="17">
        <v>13420</v>
      </c>
      <c r="F1381" s="18">
        <f t="shared" si="476"/>
        <v>0.87787008569372671</v>
      </c>
    </row>
    <row r="1382" spans="1:6" ht="15" customHeight="1" x14ac:dyDescent="0.25">
      <c r="A1382" s="15">
        <v>13</v>
      </c>
      <c r="B1382" s="15" t="s">
        <v>874</v>
      </c>
      <c r="C1382" s="32">
        <v>16</v>
      </c>
      <c r="D1382" s="32">
        <v>10294</v>
      </c>
      <c r="E1382" s="17">
        <v>9199</v>
      </c>
      <c r="F1382" s="18">
        <f t="shared" si="476"/>
        <v>0.89362735574120844</v>
      </c>
    </row>
    <row r="1383" spans="1:6" ht="15" customHeight="1" x14ac:dyDescent="0.25">
      <c r="A1383" s="15">
        <v>14</v>
      </c>
      <c r="B1383" s="15" t="s">
        <v>875</v>
      </c>
      <c r="C1383" s="20">
        <v>13</v>
      </c>
      <c r="D1383" s="20">
        <v>7210</v>
      </c>
      <c r="E1383" s="17">
        <v>5957</v>
      </c>
      <c r="F1383" s="18">
        <f t="shared" si="476"/>
        <v>0.82621359223300972</v>
      </c>
    </row>
    <row r="1384" spans="1:6" ht="23.1" customHeight="1" x14ac:dyDescent="0.25">
      <c r="A1384" s="22"/>
      <c r="B1384" s="22" t="s">
        <v>8</v>
      </c>
      <c r="C1384" s="14">
        <f t="shared" ref="C1384" si="479">SUM(C1385:C1389)</f>
        <v>216</v>
      </c>
      <c r="D1384" s="14">
        <f t="shared" ref="D1384" si="480">SUM(D1385:D1389)</f>
        <v>133378</v>
      </c>
      <c r="E1384" s="14">
        <f>SUM(E1385:E1389)</f>
        <v>117390</v>
      </c>
      <c r="F1384" s="13">
        <f t="shared" si="476"/>
        <v>0.88013015639760683</v>
      </c>
    </row>
    <row r="1385" spans="1:6" ht="15" customHeight="1" x14ac:dyDescent="0.25">
      <c r="A1385" s="15">
        <v>1</v>
      </c>
      <c r="B1385" s="15" t="s">
        <v>876</v>
      </c>
      <c r="C1385" s="20">
        <v>63</v>
      </c>
      <c r="D1385" s="20">
        <v>25058</v>
      </c>
      <c r="E1385" s="17">
        <v>21829</v>
      </c>
      <c r="F1385" s="18">
        <f t="shared" si="476"/>
        <v>0.87113895761832549</v>
      </c>
    </row>
    <row r="1386" spans="1:6" ht="15" customHeight="1" x14ac:dyDescent="0.25">
      <c r="A1386" s="15">
        <v>2</v>
      </c>
      <c r="B1386" s="15" t="s">
        <v>877</v>
      </c>
      <c r="C1386" s="32">
        <v>43</v>
      </c>
      <c r="D1386" s="32">
        <v>29534</v>
      </c>
      <c r="E1386" s="17">
        <v>25839</v>
      </c>
      <c r="F1386" s="18">
        <f t="shared" si="476"/>
        <v>0.87488995733730612</v>
      </c>
    </row>
    <row r="1387" spans="1:6" ht="15" customHeight="1" x14ac:dyDescent="0.25">
      <c r="A1387" s="15">
        <v>3</v>
      </c>
      <c r="B1387" s="15" t="s">
        <v>35</v>
      </c>
      <c r="C1387" s="20">
        <v>31</v>
      </c>
      <c r="D1387" s="20">
        <v>22867</v>
      </c>
      <c r="E1387" s="17">
        <v>20523</v>
      </c>
      <c r="F1387" s="18">
        <f t="shared" si="476"/>
        <v>0.89749420562382476</v>
      </c>
    </row>
    <row r="1388" spans="1:6" ht="15" customHeight="1" x14ac:dyDescent="0.25">
      <c r="A1388" s="23">
        <v>4</v>
      </c>
      <c r="B1388" s="15" t="s">
        <v>878</v>
      </c>
      <c r="C1388" s="20">
        <v>33</v>
      </c>
      <c r="D1388" s="20">
        <v>25637</v>
      </c>
      <c r="E1388" s="17">
        <v>22977</v>
      </c>
      <c r="F1388" s="18">
        <f t="shared" si="476"/>
        <v>0.89624371026251126</v>
      </c>
    </row>
    <row r="1389" spans="1:6" ht="15" customHeight="1" x14ac:dyDescent="0.25">
      <c r="A1389" s="15">
        <v>5</v>
      </c>
      <c r="B1389" s="15" t="s">
        <v>879</v>
      </c>
      <c r="C1389" s="20">
        <v>46</v>
      </c>
      <c r="D1389" s="20">
        <v>30282</v>
      </c>
      <c r="E1389" s="17">
        <v>26222</v>
      </c>
      <c r="F1389" s="18">
        <f t="shared" si="476"/>
        <v>0.8659269533055941</v>
      </c>
    </row>
    <row r="1390" spans="1:6" ht="23.1" customHeight="1" x14ac:dyDescent="0.25">
      <c r="A1390" s="22"/>
      <c r="B1390" s="22" t="s">
        <v>9</v>
      </c>
      <c r="C1390" s="14">
        <f t="shared" ref="C1390" si="481">SUM(C1391:C1397)</f>
        <v>464</v>
      </c>
      <c r="D1390" s="14">
        <f t="shared" ref="D1390" si="482">SUM(D1391:D1397)</f>
        <v>353329</v>
      </c>
      <c r="E1390" s="14">
        <f>SUM(E1391:E1397)</f>
        <v>311523</v>
      </c>
      <c r="F1390" s="13">
        <f t="shared" si="476"/>
        <v>0.88167968097721949</v>
      </c>
    </row>
    <row r="1391" spans="1:6" ht="15" customHeight="1" x14ac:dyDescent="0.25">
      <c r="A1391" s="15">
        <v>1</v>
      </c>
      <c r="B1391" s="15" t="s">
        <v>880</v>
      </c>
      <c r="C1391" s="20">
        <v>39</v>
      </c>
      <c r="D1391" s="20">
        <v>32251</v>
      </c>
      <c r="E1391" s="17">
        <v>29332</v>
      </c>
      <c r="F1391" s="18">
        <f t="shared" si="476"/>
        <v>0.90949117856810646</v>
      </c>
    </row>
    <row r="1392" spans="1:6" ht="15" customHeight="1" x14ac:dyDescent="0.25">
      <c r="A1392" s="15">
        <v>2</v>
      </c>
      <c r="B1392" s="15" t="s">
        <v>881</v>
      </c>
      <c r="C1392" s="20">
        <v>45</v>
      </c>
      <c r="D1392" s="20">
        <v>34770</v>
      </c>
      <c r="E1392" s="17">
        <v>31302</v>
      </c>
      <c r="F1392" s="18">
        <f t="shared" si="476"/>
        <v>0.90025884383088872</v>
      </c>
    </row>
    <row r="1393" spans="1:6" ht="15" customHeight="1" x14ac:dyDescent="0.25">
      <c r="A1393" s="15">
        <v>3</v>
      </c>
      <c r="B1393" s="15" t="s">
        <v>882</v>
      </c>
      <c r="C1393" s="20">
        <v>53</v>
      </c>
      <c r="D1393" s="20">
        <v>40805</v>
      </c>
      <c r="E1393" s="17">
        <v>36616</v>
      </c>
      <c r="F1393" s="18">
        <f t="shared" si="476"/>
        <v>0.89734101213086637</v>
      </c>
    </row>
    <row r="1394" spans="1:6" ht="15" customHeight="1" x14ac:dyDescent="0.25">
      <c r="A1394" s="15">
        <v>4</v>
      </c>
      <c r="B1394" s="15" t="s">
        <v>883</v>
      </c>
      <c r="C1394" s="20">
        <v>25</v>
      </c>
      <c r="D1394" s="20">
        <v>14749</v>
      </c>
      <c r="E1394" s="17">
        <v>13276</v>
      </c>
      <c r="F1394" s="18">
        <f t="shared" si="476"/>
        <v>0.90012882229303681</v>
      </c>
    </row>
    <row r="1395" spans="1:6" ht="15" customHeight="1" x14ac:dyDescent="0.25">
      <c r="A1395" s="15">
        <v>5</v>
      </c>
      <c r="B1395" s="15" t="s">
        <v>1260</v>
      </c>
      <c r="C1395" s="20">
        <v>32</v>
      </c>
      <c r="D1395" s="20">
        <v>22709</v>
      </c>
      <c r="E1395" s="17">
        <v>20824</v>
      </c>
      <c r="F1395" s="18">
        <f t="shared" si="476"/>
        <v>0.91699326258311686</v>
      </c>
    </row>
    <row r="1396" spans="1:6" ht="15" customHeight="1" x14ac:dyDescent="0.25">
      <c r="A1396" s="15">
        <v>6</v>
      </c>
      <c r="B1396" s="15" t="s">
        <v>884</v>
      </c>
      <c r="C1396" s="32">
        <v>67</v>
      </c>
      <c r="D1396" s="32">
        <v>46764</v>
      </c>
      <c r="E1396" s="17">
        <v>39994</v>
      </c>
      <c r="F1396" s="18">
        <f t="shared" si="476"/>
        <v>0.85523051920280557</v>
      </c>
    </row>
    <row r="1397" spans="1:6" ht="15" customHeight="1" x14ac:dyDescent="0.25">
      <c r="A1397" s="23"/>
      <c r="B1397" s="24" t="s">
        <v>1571</v>
      </c>
      <c r="C1397" s="32">
        <v>203</v>
      </c>
      <c r="D1397" s="32">
        <v>161281</v>
      </c>
      <c r="E1397" s="17">
        <v>140179</v>
      </c>
      <c r="F1397" s="18">
        <f t="shared" si="476"/>
        <v>0.86916003745016457</v>
      </c>
    </row>
    <row r="1398" spans="1:6" ht="23.1" customHeight="1" x14ac:dyDescent="0.25">
      <c r="A1398" s="22"/>
      <c r="B1398" s="22" t="s">
        <v>10</v>
      </c>
      <c r="C1398" s="14">
        <f t="shared" ref="C1398" si="483">SUM(C1399:C1407)</f>
        <v>472</v>
      </c>
      <c r="D1398" s="14">
        <f t="shared" ref="D1398" si="484">SUM(D1399:D1407)</f>
        <v>273212</v>
      </c>
      <c r="E1398" s="14">
        <f>SUM(E1399:E1407)</f>
        <v>229732</v>
      </c>
      <c r="F1398" s="13">
        <f t="shared" ref="F1398:F1429" si="485">SUM(E1398/D1398)</f>
        <v>0.84085618494063219</v>
      </c>
    </row>
    <row r="1399" spans="1:6" ht="15" customHeight="1" x14ac:dyDescent="0.25">
      <c r="A1399" s="15">
        <v>1</v>
      </c>
      <c r="B1399" s="15" t="s">
        <v>885</v>
      </c>
      <c r="C1399" s="32">
        <v>76</v>
      </c>
      <c r="D1399" s="32">
        <v>41899</v>
      </c>
      <c r="E1399" s="17">
        <v>34684</v>
      </c>
      <c r="F1399" s="18">
        <f t="shared" si="485"/>
        <v>0.82780018616196094</v>
      </c>
    </row>
    <row r="1400" spans="1:6" ht="15" customHeight="1" x14ac:dyDescent="0.25">
      <c r="A1400" s="15">
        <v>2</v>
      </c>
      <c r="B1400" s="15" t="s">
        <v>589</v>
      </c>
      <c r="C1400" s="20">
        <v>44</v>
      </c>
      <c r="D1400" s="20">
        <v>24961</v>
      </c>
      <c r="E1400" s="17">
        <v>20904</v>
      </c>
      <c r="F1400" s="18">
        <f t="shared" si="485"/>
        <v>0.83746644765834699</v>
      </c>
    </row>
    <row r="1401" spans="1:6" ht="15" customHeight="1" x14ac:dyDescent="0.25">
      <c r="A1401" s="15">
        <v>3</v>
      </c>
      <c r="B1401" s="15" t="s">
        <v>886</v>
      </c>
      <c r="C1401" s="20">
        <v>72</v>
      </c>
      <c r="D1401" s="20">
        <v>44655</v>
      </c>
      <c r="E1401" s="17">
        <v>37043</v>
      </c>
      <c r="F1401" s="18">
        <f t="shared" si="485"/>
        <v>0.82953756578210724</v>
      </c>
    </row>
    <row r="1402" spans="1:6" ht="15" customHeight="1" x14ac:dyDescent="0.25">
      <c r="A1402" s="15">
        <v>4</v>
      </c>
      <c r="B1402" s="15" t="s">
        <v>887</v>
      </c>
      <c r="C1402" s="32">
        <v>26</v>
      </c>
      <c r="D1402" s="32">
        <v>14590</v>
      </c>
      <c r="E1402" s="17">
        <v>12097</v>
      </c>
      <c r="F1402" s="18">
        <f t="shared" si="485"/>
        <v>0.82912954078135714</v>
      </c>
    </row>
    <row r="1403" spans="1:6" ht="15" customHeight="1" x14ac:dyDescent="0.25">
      <c r="A1403" s="15">
        <v>5</v>
      </c>
      <c r="B1403" s="15" t="s">
        <v>888</v>
      </c>
      <c r="C1403" s="32">
        <v>29</v>
      </c>
      <c r="D1403" s="32">
        <v>17840</v>
      </c>
      <c r="E1403" s="17">
        <v>15557</v>
      </c>
      <c r="F1403" s="18">
        <f t="shared" si="485"/>
        <v>0.87202914798206277</v>
      </c>
    </row>
    <row r="1404" spans="1:6" ht="15" customHeight="1" x14ac:dyDescent="0.25">
      <c r="A1404" s="15">
        <v>6</v>
      </c>
      <c r="B1404" s="15" t="s">
        <v>1454</v>
      </c>
      <c r="C1404" s="32">
        <v>34</v>
      </c>
      <c r="D1404" s="32">
        <v>18087</v>
      </c>
      <c r="E1404" s="17">
        <v>15223</v>
      </c>
      <c r="F1404" s="18">
        <f t="shared" si="485"/>
        <v>0.84165422679272406</v>
      </c>
    </row>
    <row r="1405" spans="1:6" ht="15" customHeight="1" x14ac:dyDescent="0.25">
      <c r="A1405" s="15">
        <v>7</v>
      </c>
      <c r="B1405" s="15" t="s">
        <v>889</v>
      </c>
      <c r="C1405" s="32">
        <v>36</v>
      </c>
      <c r="D1405" s="32">
        <v>19737</v>
      </c>
      <c r="E1405" s="17">
        <v>16202</v>
      </c>
      <c r="F1405" s="18">
        <f t="shared" si="485"/>
        <v>0.82089476617520396</v>
      </c>
    </row>
    <row r="1406" spans="1:6" ht="15" customHeight="1" x14ac:dyDescent="0.25">
      <c r="A1406" s="15">
        <v>8</v>
      </c>
      <c r="B1406" s="15" t="s">
        <v>890</v>
      </c>
      <c r="C1406" s="20">
        <v>36</v>
      </c>
      <c r="D1406" s="20">
        <v>21918</v>
      </c>
      <c r="E1406" s="17">
        <v>18149</v>
      </c>
      <c r="F1406" s="18">
        <f t="shared" si="485"/>
        <v>0.82804087964230311</v>
      </c>
    </row>
    <row r="1407" spans="1:6" ht="15" customHeight="1" x14ac:dyDescent="0.25">
      <c r="A1407" s="15"/>
      <c r="B1407" s="24" t="s">
        <v>1455</v>
      </c>
      <c r="C1407" s="32">
        <v>119</v>
      </c>
      <c r="D1407" s="32">
        <v>69525</v>
      </c>
      <c r="E1407" s="17">
        <v>59873</v>
      </c>
      <c r="F1407" s="18">
        <f t="shared" si="485"/>
        <v>0.8611722402013664</v>
      </c>
    </row>
    <row r="1408" spans="1:6" ht="23.1" customHeight="1" x14ac:dyDescent="0.25">
      <c r="A1408" s="22"/>
      <c r="B1408" s="22" t="s">
        <v>891</v>
      </c>
      <c r="C1408" s="14">
        <f t="shared" ref="C1408" si="486">SUM(C1409+C1424)</f>
        <v>747</v>
      </c>
      <c r="D1408" s="14">
        <f t="shared" ref="D1408:E1408" si="487">SUM(D1409+D1424)</f>
        <v>449191</v>
      </c>
      <c r="E1408" s="14">
        <f t="shared" si="487"/>
        <v>359902</v>
      </c>
      <c r="F1408" s="13">
        <f t="shared" si="485"/>
        <v>0.80122264248393227</v>
      </c>
    </row>
    <row r="1409" spans="1:6" ht="23.1" customHeight="1" x14ac:dyDescent="0.25">
      <c r="A1409" s="22"/>
      <c r="B1409" s="22" t="s">
        <v>6</v>
      </c>
      <c r="C1409" s="14">
        <f t="shared" ref="C1409" si="488">SUM(C1410:C1423)</f>
        <v>383</v>
      </c>
      <c r="D1409" s="14">
        <f t="shared" ref="D1409:E1409" si="489">SUM(D1410:D1423)</f>
        <v>253112</v>
      </c>
      <c r="E1409" s="14">
        <f t="shared" si="489"/>
        <v>205866</v>
      </c>
      <c r="F1409" s="13">
        <f t="shared" si="485"/>
        <v>0.81333954929043273</v>
      </c>
    </row>
    <row r="1410" spans="1:6" ht="15" customHeight="1" x14ac:dyDescent="0.25">
      <c r="A1410" s="15">
        <v>1</v>
      </c>
      <c r="B1410" s="15" t="s">
        <v>892</v>
      </c>
      <c r="C1410" s="32">
        <v>30</v>
      </c>
      <c r="D1410" s="32">
        <v>21201</v>
      </c>
      <c r="E1410" s="17">
        <v>18083</v>
      </c>
      <c r="F1410" s="18">
        <f t="shared" si="485"/>
        <v>0.85293146549691057</v>
      </c>
    </row>
    <row r="1411" spans="1:6" ht="15" customHeight="1" x14ac:dyDescent="0.25">
      <c r="A1411" s="15">
        <v>2</v>
      </c>
      <c r="B1411" s="15" t="s">
        <v>893</v>
      </c>
      <c r="C1411" s="32">
        <v>14</v>
      </c>
      <c r="D1411" s="32">
        <v>9562</v>
      </c>
      <c r="E1411" s="17">
        <v>7386</v>
      </c>
      <c r="F1411" s="18">
        <f t="shared" si="485"/>
        <v>0.77243254549257478</v>
      </c>
    </row>
    <row r="1412" spans="1:6" ht="15" customHeight="1" x14ac:dyDescent="0.25">
      <c r="A1412" s="15">
        <v>3</v>
      </c>
      <c r="B1412" s="15" t="s">
        <v>894</v>
      </c>
      <c r="C1412" s="32">
        <v>24</v>
      </c>
      <c r="D1412" s="32">
        <v>17611</v>
      </c>
      <c r="E1412" s="17">
        <v>14269</v>
      </c>
      <c r="F1412" s="18">
        <f t="shared" si="485"/>
        <v>0.81023224121287829</v>
      </c>
    </row>
    <row r="1413" spans="1:6" ht="15" customHeight="1" x14ac:dyDescent="0.25">
      <c r="A1413" s="15">
        <v>4</v>
      </c>
      <c r="B1413" s="15" t="s">
        <v>1261</v>
      </c>
      <c r="C1413" s="32">
        <v>16</v>
      </c>
      <c r="D1413" s="32">
        <v>10333</v>
      </c>
      <c r="E1413" s="17">
        <v>7462</v>
      </c>
      <c r="F1413" s="18">
        <f t="shared" si="485"/>
        <v>0.72215232749443525</v>
      </c>
    </row>
    <row r="1414" spans="1:6" ht="15" customHeight="1" x14ac:dyDescent="0.25">
      <c r="A1414" s="15">
        <v>5</v>
      </c>
      <c r="B1414" s="15" t="s">
        <v>1456</v>
      </c>
      <c r="C1414" s="32">
        <v>92</v>
      </c>
      <c r="D1414" s="32">
        <v>63766</v>
      </c>
      <c r="E1414" s="17">
        <v>52183</v>
      </c>
      <c r="F1414" s="18">
        <f t="shared" si="485"/>
        <v>0.81835147257158991</v>
      </c>
    </row>
    <row r="1415" spans="1:6" ht="15" customHeight="1" x14ac:dyDescent="0.25">
      <c r="A1415" s="15">
        <v>6</v>
      </c>
      <c r="B1415" s="15" t="s">
        <v>895</v>
      </c>
      <c r="C1415" s="32">
        <v>35</v>
      </c>
      <c r="D1415" s="32">
        <v>21400</v>
      </c>
      <c r="E1415" s="17">
        <v>17433</v>
      </c>
      <c r="F1415" s="18">
        <f t="shared" si="485"/>
        <v>0.81462616822429912</v>
      </c>
    </row>
    <row r="1416" spans="1:6" ht="15" customHeight="1" x14ac:dyDescent="0.25">
      <c r="A1416" s="15">
        <v>7</v>
      </c>
      <c r="B1416" s="15" t="s">
        <v>896</v>
      </c>
      <c r="C1416" s="32">
        <v>25</v>
      </c>
      <c r="D1416" s="32">
        <v>11765</v>
      </c>
      <c r="E1416" s="17">
        <v>10098</v>
      </c>
      <c r="F1416" s="18">
        <f t="shared" si="485"/>
        <v>0.85830854228644282</v>
      </c>
    </row>
    <row r="1417" spans="1:6" ht="15" customHeight="1" x14ac:dyDescent="0.25">
      <c r="A1417" s="15">
        <v>8</v>
      </c>
      <c r="B1417" s="15" t="s">
        <v>897</v>
      </c>
      <c r="C1417" s="32">
        <v>44</v>
      </c>
      <c r="D1417" s="32">
        <v>29437</v>
      </c>
      <c r="E1417" s="17">
        <v>23927</v>
      </c>
      <c r="F1417" s="18">
        <f t="shared" si="485"/>
        <v>0.81282059992526412</v>
      </c>
    </row>
    <row r="1418" spans="1:6" ht="15" customHeight="1" x14ac:dyDescent="0.25">
      <c r="A1418" s="15">
        <v>9</v>
      </c>
      <c r="B1418" s="15" t="s">
        <v>160</v>
      </c>
      <c r="C1418" s="32">
        <v>14</v>
      </c>
      <c r="D1418" s="32">
        <v>9361</v>
      </c>
      <c r="E1418" s="17">
        <v>8114</v>
      </c>
      <c r="F1418" s="18">
        <f t="shared" si="485"/>
        <v>0.8667877363529537</v>
      </c>
    </row>
    <row r="1419" spans="1:6" ht="15" customHeight="1" x14ac:dyDescent="0.25">
      <c r="A1419" s="15">
        <v>10</v>
      </c>
      <c r="B1419" s="15" t="s">
        <v>344</v>
      </c>
      <c r="C1419" s="32">
        <v>12</v>
      </c>
      <c r="D1419" s="32">
        <v>7159</v>
      </c>
      <c r="E1419" s="17">
        <v>5661</v>
      </c>
      <c r="F1419" s="18">
        <f t="shared" si="485"/>
        <v>0.79075289844950414</v>
      </c>
    </row>
    <row r="1420" spans="1:6" ht="15" customHeight="1" x14ac:dyDescent="0.25">
      <c r="A1420" s="15">
        <v>11</v>
      </c>
      <c r="B1420" s="15" t="s">
        <v>35</v>
      </c>
      <c r="C1420" s="32">
        <v>26</v>
      </c>
      <c r="D1420" s="32">
        <v>19644</v>
      </c>
      <c r="E1420" s="17">
        <v>14768</v>
      </c>
      <c r="F1420" s="18">
        <f t="shared" si="485"/>
        <v>0.75178171451842801</v>
      </c>
    </row>
    <row r="1421" spans="1:6" ht="15" customHeight="1" x14ac:dyDescent="0.25">
      <c r="A1421" s="15">
        <v>12</v>
      </c>
      <c r="B1421" s="15" t="s">
        <v>374</v>
      </c>
      <c r="C1421" s="32">
        <v>22</v>
      </c>
      <c r="D1421" s="32">
        <v>13049</v>
      </c>
      <c r="E1421" s="17">
        <v>10462</v>
      </c>
      <c r="F1421" s="18">
        <f t="shared" si="485"/>
        <v>0.80174726032646182</v>
      </c>
    </row>
    <row r="1422" spans="1:6" ht="15" customHeight="1" x14ac:dyDescent="0.25">
      <c r="A1422" s="15">
        <v>13</v>
      </c>
      <c r="B1422" s="15" t="s">
        <v>124</v>
      </c>
      <c r="C1422" s="32">
        <v>9</v>
      </c>
      <c r="D1422" s="32">
        <v>6087</v>
      </c>
      <c r="E1422" s="17">
        <v>4966</v>
      </c>
      <c r="F1422" s="18">
        <f t="shared" si="485"/>
        <v>0.81583702973550187</v>
      </c>
    </row>
    <row r="1423" spans="1:6" ht="15" customHeight="1" x14ac:dyDescent="0.25">
      <c r="A1423" s="15">
        <v>14</v>
      </c>
      <c r="B1423" s="15" t="s">
        <v>375</v>
      </c>
      <c r="C1423" s="20">
        <v>20</v>
      </c>
      <c r="D1423" s="20">
        <v>12737</v>
      </c>
      <c r="E1423" s="17">
        <v>11054</v>
      </c>
      <c r="F1423" s="18">
        <f t="shared" si="485"/>
        <v>0.86786527439742478</v>
      </c>
    </row>
    <row r="1424" spans="1:6" ht="23.1" customHeight="1" x14ac:dyDescent="0.25">
      <c r="A1424" s="22"/>
      <c r="B1424" s="22" t="s">
        <v>7</v>
      </c>
      <c r="C1424" s="14">
        <f t="shared" ref="C1424" si="490">SUM(C1425:C1434)</f>
        <v>364</v>
      </c>
      <c r="D1424" s="14">
        <f t="shared" ref="D1424:E1424" si="491">SUM(D1425:D1434)</f>
        <v>196079</v>
      </c>
      <c r="E1424" s="14">
        <f t="shared" si="491"/>
        <v>154036</v>
      </c>
      <c r="F1424" s="13">
        <f t="shared" si="485"/>
        <v>0.78558132181416673</v>
      </c>
    </row>
    <row r="1425" spans="1:6" ht="15" customHeight="1" x14ac:dyDescent="0.25">
      <c r="A1425" s="15">
        <v>1</v>
      </c>
      <c r="B1425" s="15" t="s">
        <v>898</v>
      </c>
      <c r="C1425" s="32">
        <v>53</v>
      </c>
      <c r="D1425" s="32">
        <v>26330</v>
      </c>
      <c r="E1425" s="17">
        <v>17596</v>
      </c>
      <c r="F1425" s="18">
        <f t="shared" si="485"/>
        <v>0.66828712495252562</v>
      </c>
    </row>
    <row r="1426" spans="1:6" ht="15" customHeight="1" x14ac:dyDescent="0.25">
      <c r="A1426" s="15">
        <v>2</v>
      </c>
      <c r="B1426" s="15" t="s">
        <v>1262</v>
      </c>
      <c r="C1426" s="32">
        <v>30</v>
      </c>
      <c r="D1426" s="32">
        <v>16689</v>
      </c>
      <c r="E1426" s="17">
        <v>12914</v>
      </c>
      <c r="F1426" s="18">
        <f t="shared" si="485"/>
        <v>0.77380310384085327</v>
      </c>
    </row>
    <row r="1427" spans="1:6" ht="15" customHeight="1" x14ac:dyDescent="0.25">
      <c r="A1427" s="15">
        <v>3</v>
      </c>
      <c r="B1427" s="15" t="s">
        <v>1263</v>
      </c>
      <c r="C1427" s="32">
        <v>66</v>
      </c>
      <c r="D1427" s="32">
        <v>37615</v>
      </c>
      <c r="E1427" s="17">
        <v>30843</v>
      </c>
      <c r="F1427" s="18">
        <f t="shared" si="485"/>
        <v>0.81996543931942045</v>
      </c>
    </row>
    <row r="1428" spans="1:6" ht="15" customHeight="1" x14ac:dyDescent="0.25">
      <c r="A1428" s="15">
        <v>4</v>
      </c>
      <c r="B1428" s="15" t="s">
        <v>899</v>
      </c>
      <c r="C1428" s="32">
        <v>16</v>
      </c>
      <c r="D1428" s="32">
        <v>8097</v>
      </c>
      <c r="E1428" s="17">
        <v>6772</v>
      </c>
      <c r="F1428" s="18">
        <f t="shared" si="485"/>
        <v>0.83635914536247991</v>
      </c>
    </row>
    <row r="1429" spans="1:6" ht="15" customHeight="1" x14ac:dyDescent="0.25">
      <c r="A1429" s="15">
        <v>5</v>
      </c>
      <c r="B1429" s="15" t="s">
        <v>900</v>
      </c>
      <c r="C1429" s="32">
        <v>56</v>
      </c>
      <c r="D1429" s="32">
        <v>23620</v>
      </c>
      <c r="E1429" s="17">
        <v>18336</v>
      </c>
      <c r="F1429" s="18">
        <f t="shared" si="485"/>
        <v>0.77629127857747671</v>
      </c>
    </row>
    <row r="1430" spans="1:6" ht="15" customHeight="1" x14ac:dyDescent="0.25">
      <c r="A1430" s="15">
        <v>6</v>
      </c>
      <c r="B1430" s="15" t="s">
        <v>901</v>
      </c>
      <c r="C1430" s="32">
        <v>17</v>
      </c>
      <c r="D1430" s="32">
        <v>11129</v>
      </c>
      <c r="E1430" s="17">
        <v>8937</v>
      </c>
      <c r="F1430" s="18">
        <f t="shared" ref="F1430:F1436" si="492">SUM(E1430/D1430)</f>
        <v>0.80303711025249347</v>
      </c>
    </row>
    <row r="1431" spans="1:6" ht="15" customHeight="1" x14ac:dyDescent="0.25">
      <c r="A1431" s="15">
        <v>7</v>
      </c>
      <c r="B1431" s="15" t="s">
        <v>902</v>
      </c>
      <c r="C1431" s="32">
        <v>39</v>
      </c>
      <c r="D1431" s="32">
        <v>23269</v>
      </c>
      <c r="E1431" s="17">
        <v>18762</v>
      </c>
      <c r="F1431" s="18">
        <f t="shared" si="492"/>
        <v>0.80630882289741712</v>
      </c>
    </row>
    <row r="1432" spans="1:6" ht="15" customHeight="1" x14ac:dyDescent="0.25">
      <c r="A1432" s="15">
        <v>8</v>
      </c>
      <c r="B1432" s="15" t="s">
        <v>903</v>
      </c>
      <c r="C1432" s="32">
        <v>35</v>
      </c>
      <c r="D1432" s="32">
        <v>21526</v>
      </c>
      <c r="E1432" s="17">
        <v>17815</v>
      </c>
      <c r="F1432" s="18">
        <f t="shared" si="492"/>
        <v>0.8276038279290161</v>
      </c>
    </row>
    <row r="1433" spans="1:6" ht="15" customHeight="1" x14ac:dyDescent="0.25">
      <c r="A1433" s="15">
        <v>9</v>
      </c>
      <c r="B1433" s="15" t="s">
        <v>904</v>
      </c>
      <c r="C1433" s="32">
        <v>26</v>
      </c>
      <c r="D1433" s="32">
        <v>17816</v>
      </c>
      <c r="E1433" s="17">
        <v>14037</v>
      </c>
      <c r="F1433" s="18">
        <f t="shared" si="492"/>
        <v>0.78788729232150878</v>
      </c>
    </row>
    <row r="1434" spans="1:6" ht="15" customHeight="1" x14ac:dyDescent="0.25">
      <c r="A1434" s="15">
        <v>10</v>
      </c>
      <c r="B1434" s="15" t="s">
        <v>1264</v>
      </c>
      <c r="C1434" s="20">
        <v>26</v>
      </c>
      <c r="D1434" s="20">
        <v>9988</v>
      </c>
      <c r="E1434" s="17">
        <v>8024</v>
      </c>
      <c r="F1434" s="18">
        <f t="shared" si="492"/>
        <v>0.80336403684421309</v>
      </c>
    </row>
    <row r="1435" spans="1:6" ht="23.1" customHeight="1" x14ac:dyDescent="0.25">
      <c r="A1435" s="22"/>
      <c r="B1435" s="22" t="s">
        <v>905</v>
      </c>
      <c r="C1435" s="14">
        <f t="shared" ref="C1435" si="493">SUM(C1436+C1447)</f>
        <v>1177</v>
      </c>
      <c r="D1435" s="14">
        <f t="shared" ref="D1435:E1435" si="494">SUM(D1436+D1447)</f>
        <v>625543</v>
      </c>
      <c r="E1435" s="14">
        <f t="shared" si="494"/>
        <v>503239</v>
      </c>
      <c r="F1435" s="13">
        <f t="shared" si="492"/>
        <v>0.80448346476581145</v>
      </c>
    </row>
    <row r="1436" spans="1:6" ht="23.1" customHeight="1" x14ac:dyDescent="0.25">
      <c r="A1436" s="22"/>
      <c r="B1436" s="22" t="s">
        <v>6</v>
      </c>
      <c r="C1436" s="14">
        <f t="shared" ref="C1436" si="495">SUM(C1437:C1446)</f>
        <v>542</v>
      </c>
      <c r="D1436" s="14">
        <f t="shared" ref="D1436:E1436" si="496">SUM(D1437:D1446)</f>
        <v>289756</v>
      </c>
      <c r="E1436" s="14">
        <f t="shared" si="496"/>
        <v>229519</v>
      </c>
      <c r="F1436" s="13">
        <f t="shared" si="492"/>
        <v>0.79211129364016619</v>
      </c>
    </row>
    <row r="1437" spans="1:6" ht="15" customHeight="1" x14ac:dyDescent="0.25">
      <c r="A1437" s="15">
        <v>1</v>
      </c>
      <c r="B1437" s="15" t="s">
        <v>1286</v>
      </c>
      <c r="C1437" s="20">
        <v>24</v>
      </c>
      <c r="D1437" s="20">
        <v>11575</v>
      </c>
      <c r="E1437" s="17">
        <v>6562</v>
      </c>
      <c r="F1437" s="18">
        <f t="shared" ref="F1437:F1468" si="497">SUM(E1437/D1437)</f>
        <v>0.56691144708423324</v>
      </c>
    </row>
    <row r="1438" spans="1:6" ht="15" customHeight="1" x14ac:dyDescent="0.25">
      <c r="A1438" s="15">
        <v>2</v>
      </c>
      <c r="B1438" s="15" t="s">
        <v>1287</v>
      </c>
      <c r="C1438" s="20">
        <v>72</v>
      </c>
      <c r="D1438" s="20">
        <v>29030</v>
      </c>
      <c r="E1438" s="17">
        <v>22553</v>
      </c>
      <c r="F1438" s="18">
        <f t="shared" si="497"/>
        <v>0.77688598002066822</v>
      </c>
    </row>
    <row r="1439" spans="1:6" ht="15" customHeight="1" x14ac:dyDescent="0.25">
      <c r="A1439" s="15">
        <v>3</v>
      </c>
      <c r="B1439" s="15" t="s">
        <v>1288</v>
      </c>
      <c r="C1439" s="20">
        <v>22</v>
      </c>
      <c r="D1439" s="20">
        <v>6241</v>
      </c>
      <c r="E1439" s="17">
        <v>5046</v>
      </c>
      <c r="F1439" s="18">
        <f t="shared" si="497"/>
        <v>0.80852427495593659</v>
      </c>
    </row>
    <row r="1440" spans="1:6" ht="15" customHeight="1" x14ac:dyDescent="0.25">
      <c r="A1440" s="23">
        <v>4</v>
      </c>
      <c r="B1440" s="15" t="s">
        <v>1289</v>
      </c>
      <c r="C1440" s="20">
        <v>13</v>
      </c>
      <c r="D1440" s="20">
        <v>8065</v>
      </c>
      <c r="E1440" s="17">
        <v>5782</v>
      </c>
      <c r="F1440" s="18">
        <f t="shared" si="497"/>
        <v>0.7169249845009299</v>
      </c>
    </row>
    <row r="1441" spans="1:6" ht="15" customHeight="1" x14ac:dyDescent="0.25">
      <c r="A1441" s="15">
        <v>5</v>
      </c>
      <c r="B1441" s="15" t="s">
        <v>1290</v>
      </c>
      <c r="C1441" s="20">
        <v>41</v>
      </c>
      <c r="D1441" s="20">
        <v>15976</v>
      </c>
      <c r="E1441" s="17">
        <v>12732</v>
      </c>
      <c r="F1441" s="18">
        <f t="shared" si="497"/>
        <v>0.79694541812719077</v>
      </c>
    </row>
    <row r="1442" spans="1:6" ht="15" customHeight="1" x14ac:dyDescent="0.25">
      <c r="A1442" s="15">
        <v>6</v>
      </c>
      <c r="B1442" s="15" t="s">
        <v>1291</v>
      </c>
      <c r="C1442" s="20">
        <v>51</v>
      </c>
      <c r="D1442" s="20">
        <v>24881</v>
      </c>
      <c r="E1442" s="28">
        <v>22634</v>
      </c>
      <c r="F1442" s="18">
        <f t="shared" si="497"/>
        <v>0.90969012499497603</v>
      </c>
    </row>
    <row r="1443" spans="1:6" ht="15" customHeight="1" x14ac:dyDescent="0.25">
      <c r="A1443" s="23">
        <v>7</v>
      </c>
      <c r="B1443" s="15" t="s">
        <v>906</v>
      </c>
      <c r="C1443" s="20">
        <v>19</v>
      </c>
      <c r="D1443" s="20">
        <v>12640</v>
      </c>
      <c r="E1443" s="17">
        <v>9678</v>
      </c>
      <c r="F1443" s="18">
        <f t="shared" si="497"/>
        <v>0.76566455696202529</v>
      </c>
    </row>
    <row r="1444" spans="1:6" ht="15" customHeight="1" x14ac:dyDescent="0.25">
      <c r="A1444" s="15">
        <v>8</v>
      </c>
      <c r="B1444" s="15" t="s">
        <v>1292</v>
      </c>
      <c r="C1444" s="20">
        <v>15</v>
      </c>
      <c r="D1444" s="20">
        <v>7531</v>
      </c>
      <c r="E1444" s="17">
        <v>5678</v>
      </c>
      <c r="F1444" s="18">
        <f t="shared" si="497"/>
        <v>0.75395033860045146</v>
      </c>
    </row>
    <row r="1445" spans="1:6" ht="15" customHeight="1" x14ac:dyDescent="0.25">
      <c r="A1445" s="15">
        <v>9</v>
      </c>
      <c r="B1445" s="15" t="s">
        <v>1293</v>
      </c>
      <c r="C1445" s="20">
        <v>44</v>
      </c>
      <c r="D1445" s="20">
        <v>21871</v>
      </c>
      <c r="E1445" s="17">
        <v>17851</v>
      </c>
      <c r="F1445" s="18">
        <f t="shared" si="497"/>
        <v>0.81619496136436376</v>
      </c>
    </row>
    <row r="1446" spans="1:6" ht="15" customHeight="1" x14ac:dyDescent="0.25">
      <c r="A1446" s="15"/>
      <c r="B1446" s="24" t="s">
        <v>1457</v>
      </c>
      <c r="C1446" s="20">
        <v>241</v>
      </c>
      <c r="D1446" s="20">
        <v>151946</v>
      </c>
      <c r="E1446" s="17">
        <v>121003</v>
      </c>
      <c r="F1446" s="18">
        <f t="shared" si="497"/>
        <v>0.79635528411409318</v>
      </c>
    </row>
    <row r="1447" spans="1:6" ht="23.1" customHeight="1" x14ac:dyDescent="0.25">
      <c r="A1447" s="22"/>
      <c r="B1447" s="22" t="s">
        <v>7</v>
      </c>
      <c r="C1447" s="14">
        <f t="shared" ref="C1447" si="498">SUM(C1448:C1463)</f>
        <v>635</v>
      </c>
      <c r="D1447" s="14">
        <f t="shared" ref="D1447:E1447" si="499">SUM(D1448:D1463)</f>
        <v>335787</v>
      </c>
      <c r="E1447" s="14">
        <f t="shared" si="499"/>
        <v>273720</v>
      </c>
      <c r="F1447" s="13">
        <f t="shared" si="497"/>
        <v>0.81515961010998039</v>
      </c>
    </row>
    <row r="1448" spans="1:6" ht="15" customHeight="1" x14ac:dyDescent="0.25">
      <c r="A1448" s="15">
        <v>1</v>
      </c>
      <c r="B1448" s="15" t="s">
        <v>1280</v>
      </c>
      <c r="C1448" s="20">
        <v>66</v>
      </c>
      <c r="D1448" s="20">
        <v>40965</v>
      </c>
      <c r="E1448" s="17">
        <v>33382</v>
      </c>
      <c r="F1448" s="18">
        <f t="shared" si="497"/>
        <v>0.81489076040522401</v>
      </c>
    </row>
    <row r="1449" spans="1:6" ht="15" customHeight="1" x14ac:dyDescent="0.25">
      <c r="A1449" s="23">
        <v>2</v>
      </c>
      <c r="B1449" s="15" t="s">
        <v>1294</v>
      </c>
      <c r="C1449" s="20">
        <v>44</v>
      </c>
      <c r="D1449" s="20">
        <v>18174</v>
      </c>
      <c r="E1449" s="17">
        <v>14933</v>
      </c>
      <c r="F1449" s="18">
        <f t="shared" si="497"/>
        <v>0.82166831737647184</v>
      </c>
    </row>
    <row r="1450" spans="1:6" ht="15" customHeight="1" x14ac:dyDescent="0.25">
      <c r="A1450" s="23">
        <v>3</v>
      </c>
      <c r="B1450" s="15" t="s">
        <v>1295</v>
      </c>
      <c r="C1450" s="20">
        <v>61</v>
      </c>
      <c r="D1450" s="20">
        <v>29283</v>
      </c>
      <c r="E1450" s="17">
        <v>22185</v>
      </c>
      <c r="F1450" s="18">
        <f t="shared" si="497"/>
        <v>0.75760680258170265</v>
      </c>
    </row>
    <row r="1451" spans="1:6" ht="15" customHeight="1" x14ac:dyDescent="0.25">
      <c r="A1451" s="15">
        <v>4</v>
      </c>
      <c r="B1451" s="15" t="s">
        <v>1296</v>
      </c>
      <c r="C1451" s="20">
        <v>24</v>
      </c>
      <c r="D1451" s="20">
        <v>12012</v>
      </c>
      <c r="E1451" s="17">
        <v>10117</v>
      </c>
      <c r="F1451" s="18">
        <f t="shared" si="497"/>
        <v>0.84224109224109223</v>
      </c>
    </row>
    <row r="1452" spans="1:6" ht="15" customHeight="1" x14ac:dyDescent="0.25">
      <c r="A1452" s="23">
        <v>5</v>
      </c>
      <c r="B1452" s="15" t="s">
        <v>1297</v>
      </c>
      <c r="C1452" s="20">
        <v>36</v>
      </c>
      <c r="D1452" s="20">
        <v>14768</v>
      </c>
      <c r="E1452" s="17">
        <v>12347</v>
      </c>
      <c r="F1452" s="18">
        <f t="shared" si="497"/>
        <v>0.83606446370530874</v>
      </c>
    </row>
    <row r="1453" spans="1:6" ht="15" customHeight="1" x14ac:dyDescent="0.25">
      <c r="A1453" s="23">
        <v>6</v>
      </c>
      <c r="B1453" s="15" t="s">
        <v>1298</v>
      </c>
      <c r="C1453" s="20">
        <v>25</v>
      </c>
      <c r="D1453" s="20">
        <v>13556</v>
      </c>
      <c r="E1453" s="17">
        <v>11479</v>
      </c>
      <c r="F1453" s="18">
        <f t="shared" si="497"/>
        <v>0.84678371200944236</v>
      </c>
    </row>
    <row r="1454" spans="1:6" ht="15" customHeight="1" x14ac:dyDescent="0.25">
      <c r="A1454" s="15">
        <v>7</v>
      </c>
      <c r="B1454" s="15" t="s">
        <v>1299</v>
      </c>
      <c r="C1454" s="20">
        <v>33</v>
      </c>
      <c r="D1454" s="20">
        <v>12064</v>
      </c>
      <c r="E1454" s="17">
        <v>10261</v>
      </c>
      <c r="F1454" s="18">
        <f t="shared" si="497"/>
        <v>0.8505470822281167</v>
      </c>
    </row>
    <row r="1455" spans="1:6" ht="15" customHeight="1" x14ac:dyDescent="0.25">
      <c r="A1455" s="15">
        <v>8</v>
      </c>
      <c r="B1455" s="15" t="s">
        <v>1458</v>
      </c>
      <c r="C1455" s="20">
        <v>48</v>
      </c>
      <c r="D1455" s="20">
        <v>24414</v>
      </c>
      <c r="E1455" s="17">
        <v>19379</v>
      </c>
      <c r="F1455" s="18">
        <f t="shared" si="497"/>
        <v>0.79376587204063243</v>
      </c>
    </row>
    <row r="1456" spans="1:6" ht="15" customHeight="1" x14ac:dyDescent="0.25">
      <c r="A1456" s="23">
        <v>9</v>
      </c>
      <c r="B1456" s="15" t="s">
        <v>1300</v>
      </c>
      <c r="C1456" s="20">
        <v>26</v>
      </c>
      <c r="D1456" s="20">
        <v>13450</v>
      </c>
      <c r="E1456" s="17">
        <v>11301</v>
      </c>
      <c r="F1456" s="18">
        <f t="shared" si="497"/>
        <v>0.84022304832713757</v>
      </c>
    </row>
    <row r="1457" spans="1:6" ht="15" customHeight="1" x14ac:dyDescent="0.25">
      <c r="A1457" s="15">
        <v>10</v>
      </c>
      <c r="B1457" s="15" t="s">
        <v>1301</v>
      </c>
      <c r="C1457" s="20">
        <v>16</v>
      </c>
      <c r="D1457" s="20">
        <v>6109</v>
      </c>
      <c r="E1457" s="17">
        <v>5374</v>
      </c>
      <c r="F1457" s="18">
        <f t="shared" si="497"/>
        <v>0.8796857096087739</v>
      </c>
    </row>
    <row r="1458" spans="1:6" ht="15" customHeight="1" x14ac:dyDescent="0.25">
      <c r="A1458" s="15">
        <v>11</v>
      </c>
      <c r="B1458" s="15" t="s">
        <v>1302</v>
      </c>
      <c r="C1458" s="20">
        <v>14</v>
      </c>
      <c r="D1458" s="20">
        <v>7746</v>
      </c>
      <c r="E1458" s="17">
        <v>6342</v>
      </c>
      <c r="F1458" s="18">
        <f t="shared" si="497"/>
        <v>0.81874515879163434</v>
      </c>
    </row>
    <row r="1459" spans="1:6" ht="15" customHeight="1" x14ac:dyDescent="0.25">
      <c r="A1459" s="15">
        <v>12</v>
      </c>
      <c r="B1459" s="15" t="s">
        <v>353</v>
      </c>
      <c r="C1459" s="20">
        <v>50</v>
      </c>
      <c r="D1459" s="20">
        <v>30628</v>
      </c>
      <c r="E1459" s="16">
        <v>25295</v>
      </c>
      <c r="F1459" s="18">
        <f t="shared" si="497"/>
        <v>0.82587828131121854</v>
      </c>
    </row>
    <row r="1460" spans="1:6" ht="15" customHeight="1" x14ac:dyDescent="0.25">
      <c r="A1460" s="15">
        <v>13</v>
      </c>
      <c r="B1460" s="15" t="s">
        <v>1303</v>
      </c>
      <c r="C1460" s="20">
        <v>12</v>
      </c>
      <c r="D1460" s="20">
        <v>6987</v>
      </c>
      <c r="E1460" s="17">
        <v>5711</v>
      </c>
      <c r="F1460" s="18">
        <f t="shared" si="497"/>
        <v>0.81737512523257483</v>
      </c>
    </row>
    <row r="1461" spans="1:6" ht="15" customHeight="1" x14ac:dyDescent="0.25">
      <c r="A1461" s="15">
        <v>14</v>
      </c>
      <c r="B1461" s="15" t="s">
        <v>1304</v>
      </c>
      <c r="C1461" s="20">
        <v>45</v>
      </c>
      <c r="D1461" s="20">
        <v>21480</v>
      </c>
      <c r="E1461" s="17">
        <v>17691</v>
      </c>
      <c r="F1461" s="18">
        <f t="shared" si="497"/>
        <v>0.82360335195530732</v>
      </c>
    </row>
    <row r="1462" spans="1:6" ht="15" customHeight="1" x14ac:dyDescent="0.25">
      <c r="A1462" s="15">
        <v>15</v>
      </c>
      <c r="B1462" s="15" t="s">
        <v>1305</v>
      </c>
      <c r="C1462" s="20">
        <v>27</v>
      </c>
      <c r="D1462" s="20">
        <v>13509</v>
      </c>
      <c r="E1462" s="17">
        <v>10814</v>
      </c>
      <c r="F1462" s="18">
        <f t="shared" si="497"/>
        <v>0.80050336812495371</v>
      </c>
    </row>
    <row r="1463" spans="1:6" ht="15" customHeight="1" x14ac:dyDescent="0.25">
      <c r="A1463" s="15"/>
      <c r="B1463" s="24" t="s">
        <v>1459</v>
      </c>
      <c r="C1463" s="20">
        <v>108</v>
      </c>
      <c r="D1463" s="20">
        <v>70642</v>
      </c>
      <c r="E1463" s="17">
        <v>57109</v>
      </c>
      <c r="F1463" s="18">
        <f t="shared" si="497"/>
        <v>0.80842841369157159</v>
      </c>
    </row>
    <row r="1464" spans="1:6" ht="23.1" customHeight="1" x14ac:dyDescent="0.25">
      <c r="A1464" s="22"/>
      <c r="B1464" s="22" t="s">
        <v>907</v>
      </c>
      <c r="C1464" s="14">
        <f t="shared" ref="C1464" si="500">SUM(C1465+C1473)</f>
        <v>600</v>
      </c>
      <c r="D1464" s="14">
        <f t="shared" ref="D1464:E1464" si="501">SUM(D1465+D1473)</f>
        <v>300005</v>
      </c>
      <c r="E1464" s="14">
        <f t="shared" si="501"/>
        <v>266743</v>
      </c>
      <c r="F1464" s="13">
        <f t="shared" si="497"/>
        <v>0.88912851452475794</v>
      </c>
    </row>
    <row r="1465" spans="1:6" ht="23.1" customHeight="1" x14ac:dyDescent="0.25">
      <c r="A1465" s="22"/>
      <c r="B1465" s="22" t="s">
        <v>6</v>
      </c>
      <c r="C1465" s="14">
        <f t="shared" ref="C1465" si="502">SUM(C1466:C1472)</f>
        <v>270</v>
      </c>
      <c r="D1465" s="14">
        <f t="shared" ref="D1465:E1465" si="503">SUM(D1466:D1472)</f>
        <v>134738</v>
      </c>
      <c r="E1465" s="14">
        <f t="shared" si="503"/>
        <v>118792</v>
      </c>
      <c r="F1465" s="13">
        <f t="shared" si="497"/>
        <v>0.88165179830485829</v>
      </c>
    </row>
    <row r="1466" spans="1:6" ht="15" customHeight="1" x14ac:dyDescent="0.25">
      <c r="A1466" s="15">
        <v>1</v>
      </c>
      <c r="B1466" s="15" t="s">
        <v>908</v>
      </c>
      <c r="C1466" s="19">
        <v>49</v>
      </c>
      <c r="D1466" s="19">
        <v>21823</v>
      </c>
      <c r="E1466" s="17">
        <v>19074</v>
      </c>
      <c r="F1466" s="18">
        <f t="shared" si="497"/>
        <v>0.87403198460340004</v>
      </c>
    </row>
    <row r="1467" spans="1:6" ht="15" customHeight="1" x14ac:dyDescent="0.25">
      <c r="A1467" s="15">
        <v>2</v>
      </c>
      <c r="B1467" s="15" t="s">
        <v>909</v>
      </c>
      <c r="C1467" s="19">
        <v>7</v>
      </c>
      <c r="D1467" s="19">
        <v>4436</v>
      </c>
      <c r="E1467" s="17">
        <v>3841</v>
      </c>
      <c r="F1467" s="18">
        <f t="shared" si="497"/>
        <v>0.86587015329125339</v>
      </c>
    </row>
    <row r="1468" spans="1:6" ht="15" customHeight="1" x14ac:dyDescent="0.25">
      <c r="A1468" s="15">
        <v>3</v>
      </c>
      <c r="B1468" s="15" t="s">
        <v>910</v>
      </c>
      <c r="C1468" s="19">
        <v>35</v>
      </c>
      <c r="D1468" s="19">
        <v>18719</v>
      </c>
      <c r="E1468" s="17">
        <v>16840</v>
      </c>
      <c r="F1468" s="18">
        <f t="shared" si="497"/>
        <v>0.89962070623430734</v>
      </c>
    </row>
    <row r="1469" spans="1:6" ht="15" customHeight="1" x14ac:dyDescent="0.25">
      <c r="A1469" s="15">
        <v>4</v>
      </c>
      <c r="B1469" s="15" t="s">
        <v>911</v>
      </c>
      <c r="C1469" s="19">
        <v>43</v>
      </c>
      <c r="D1469" s="19">
        <v>13277</v>
      </c>
      <c r="E1469" s="17">
        <v>11644</v>
      </c>
      <c r="F1469" s="18">
        <f t="shared" ref="F1469:F1500" si="504">SUM(E1469/D1469)</f>
        <v>0.87700534759358284</v>
      </c>
    </row>
    <row r="1470" spans="1:6" ht="15" customHeight="1" x14ac:dyDescent="0.25">
      <c r="A1470" s="15">
        <v>5</v>
      </c>
      <c r="B1470" s="15" t="s">
        <v>468</v>
      </c>
      <c r="C1470" s="19">
        <v>12</v>
      </c>
      <c r="D1470" s="19">
        <v>7831</v>
      </c>
      <c r="E1470" s="17">
        <v>6958</v>
      </c>
      <c r="F1470" s="18">
        <f t="shared" si="504"/>
        <v>0.88851998467628657</v>
      </c>
    </row>
    <row r="1471" spans="1:6" ht="15" customHeight="1" x14ac:dyDescent="0.25">
      <c r="A1471" s="15">
        <v>6</v>
      </c>
      <c r="B1471" s="15" t="s">
        <v>912</v>
      </c>
      <c r="C1471" s="19">
        <v>31</v>
      </c>
      <c r="D1471" s="19">
        <v>11800</v>
      </c>
      <c r="E1471" s="17">
        <v>10327</v>
      </c>
      <c r="F1471" s="18">
        <f t="shared" si="504"/>
        <v>0.87516949152542378</v>
      </c>
    </row>
    <row r="1472" spans="1:6" ht="15" customHeight="1" x14ac:dyDescent="0.25">
      <c r="A1472" s="15"/>
      <c r="B1472" s="24" t="s">
        <v>1460</v>
      </c>
      <c r="C1472" s="19">
        <v>93</v>
      </c>
      <c r="D1472" s="19">
        <v>56852</v>
      </c>
      <c r="E1472" s="17">
        <v>50108</v>
      </c>
      <c r="F1472" s="18">
        <f t="shared" si="504"/>
        <v>0.88137620488285373</v>
      </c>
    </row>
    <row r="1473" spans="1:6" ht="23.1" customHeight="1" x14ac:dyDescent="0.25">
      <c r="A1473" s="22"/>
      <c r="B1473" s="22" t="s">
        <v>7</v>
      </c>
      <c r="C1473" s="14">
        <f t="shared" ref="C1473" si="505">SUM(C1474:C1485)</f>
        <v>330</v>
      </c>
      <c r="D1473" s="14">
        <f t="shared" ref="D1473:E1473" si="506">SUM(D1474:D1485)</f>
        <v>165267</v>
      </c>
      <c r="E1473" s="14">
        <f t="shared" si="506"/>
        <v>147951</v>
      </c>
      <c r="F1473" s="13">
        <f t="shared" si="504"/>
        <v>0.89522409192397756</v>
      </c>
    </row>
    <row r="1474" spans="1:6" ht="15" customHeight="1" x14ac:dyDescent="0.25">
      <c r="A1474" s="15">
        <v>1</v>
      </c>
      <c r="B1474" s="15" t="s">
        <v>913</v>
      </c>
      <c r="C1474" s="19">
        <v>15</v>
      </c>
      <c r="D1474" s="19">
        <v>6411</v>
      </c>
      <c r="E1474" s="17">
        <v>5778</v>
      </c>
      <c r="F1474" s="18">
        <f t="shared" si="504"/>
        <v>0.90126345343940106</v>
      </c>
    </row>
    <row r="1475" spans="1:6" ht="15" customHeight="1" x14ac:dyDescent="0.25">
      <c r="A1475" s="15">
        <v>2</v>
      </c>
      <c r="B1475" s="15" t="s">
        <v>914</v>
      </c>
      <c r="C1475" s="19">
        <v>52</v>
      </c>
      <c r="D1475" s="19">
        <v>22008</v>
      </c>
      <c r="E1475" s="17">
        <v>19649</v>
      </c>
      <c r="F1475" s="18">
        <f t="shared" si="504"/>
        <v>0.89281170483460559</v>
      </c>
    </row>
    <row r="1476" spans="1:6" ht="15" customHeight="1" x14ac:dyDescent="0.25">
      <c r="A1476" s="15">
        <v>3</v>
      </c>
      <c r="B1476" s="15" t="s">
        <v>915</v>
      </c>
      <c r="C1476" s="19">
        <v>18</v>
      </c>
      <c r="D1476" s="19">
        <v>10122</v>
      </c>
      <c r="E1476" s="17">
        <v>9159</v>
      </c>
      <c r="F1476" s="18">
        <f t="shared" si="504"/>
        <v>0.9048606994665086</v>
      </c>
    </row>
    <row r="1477" spans="1:6" ht="15" customHeight="1" x14ac:dyDescent="0.25">
      <c r="A1477" s="15">
        <v>4</v>
      </c>
      <c r="B1477" s="34" t="s">
        <v>1276</v>
      </c>
      <c r="C1477" s="19">
        <v>18</v>
      </c>
      <c r="D1477" s="19">
        <v>11008</v>
      </c>
      <c r="E1477" s="17">
        <v>9697</v>
      </c>
      <c r="F1477" s="18">
        <f t="shared" si="504"/>
        <v>0.8809047965116279</v>
      </c>
    </row>
    <row r="1478" spans="1:6" ht="15" customHeight="1" x14ac:dyDescent="0.25">
      <c r="A1478" s="15">
        <v>5</v>
      </c>
      <c r="B1478" s="15" t="s">
        <v>1265</v>
      </c>
      <c r="C1478" s="19">
        <v>28</v>
      </c>
      <c r="D1478" s="19">
        <v>15341</v>
      </c>
      <c r="E1478" s="17">
        <v>13428</v>
      </c>
      <c r="F1478" s="18">
        <f t="shared" si="504"/>
        <v>0.8753014796949351</v>
      </c>
    </row>
    <row r="1479" spans="1:6" ht="15" customHeight="1" x14ac:dyDescent="0.25">
      <c r="A1479" s="15">
        <v>6</v>
      </c>
      <c r="B1479" s="15" t="s">
        <v>916</v>
      </c>
      <c r="C1479" s="19">
        <v>23</v>
      </c>
      <c r="D1479" s="19">
        <v>8456</v>
      </c>
      <c r="E1479" s="17">
        <v>7711</v>
      </c>
      <c r="F1479" s="18">
        <f t="shared" si="504"/>
        <v>0.91189687795648056</v>
      </c>
    </row>
    <row r="1480" spans="1:6" ht="15" customHeight="1" x14ac:dyDescent="0.25">
      <c r="A1480" s="15">
        <v>7</v>
      </c>
      <c r="B1480" s="15" t="s">
        <v>917</v>
      </c>
      <c r="C1480" s="19">
        <v>37</v>
      </c>
      <c r="D1480" s="19">
        <v>18923</v>
      </c>
      <c r="E1480" s="17">
        <v>16377</v>
      </c>
      <c r="F1480" s="18">
        <f t="shared" si="504"/>
        <v>0.86545473762088465</v>
      </c>
    </row>
    <row r="1481" spans="1:6" ht="15" customHeight="1" x14ac:dyDescent="0.25">
      <c r="A1481" s="15">
        <v>8</v>
      </c>
      <c r="B1481" s="15" t="s">
        <v>803</v>
      </c>
      <c r="C1481" s="19">
        <v>22</v>
      </c>
      <c r="D1481" s="19">
        <v>10427</v>
      </c>
      <c r="E1481" s="17">
        <v>9430</v>
      </c>
      <c r="F1481" s="18">
        <f t="shared" si="504"/>
        <v>0.9043828522106071</v>
      </c>
    </row>
    <row r="1482" spans="1:6" ht="15" customHeight="1" x14ac:dyDescent="0.25">
      <c r="A1482" s="15">
        <v>9</v>
      </c>
      <c r="B1482" s="15" t="s">
        <v>1461</v>
      </c>
      <c r="C1482" s="19">
        <v>20</v>
      </c>
      <c r="D1482" s="19">
        <v>10962</v>
      </c>
      <c r="E1482" s="17">
        <v>9920</v>
      </c>
      <c r="F1482" s="18">
        <f t="shared" si="504"/>
        <v>0.90494435322021527</v>
      </c>
    </row>
    <row r="1483" spans="1:6" ht="15" customHeight="1" x14ac:dyDescent="0.25">
      <c r="A1483" s="15">
        <v>10</v>
      </c>
      <c r="B1483" s="15" t="s">
        <v>918</v>
      </c>
      <c r="C1483" s="19">
        <v>16</v>
      </c>
      <c r="D1483" s="19">
        <v>7393</v>
      </c>
      <c r="E1483" s="17">
        <v>6719</v>
      </c>
      <c r="F1483" s="18">
        <f t="shared" si="504"/>
        <v>0.90883267956174763</v>
      </c>
    </row>
    <row r="1484" spans="1:6" ht="15" customHeight="1" x14ac:dyDescent="0.25">
      <c r="A1484" s="15">
        <v>11</v>
      </c>
      <c r="B1484" s="15" t="s">
        <v>919</v>
      </c>
      <c r="C1484" s="19">
        <v>20</v>
      </c>
      <c r="D1484" s="19">
        <v>10957</v>
      </c>
      <c r="E1484" s="17">
        <v>9849</v>
      </c>
      <c r="F1484" s="18">
        <f t="shared" si="504"/>
        <v>0.89887742995345443</v>
      </c>
    </row>
    <row r="1485" spans="1:6" ht="15" customHeight="1" x14ac:dyDescent="0.25">
      <c r="A1485" s="15">
        <v>12</v>
      </c>
      <c r="B1485" s="15" t="s">
        <v>804</v>
      </c>
      <c r="C1485" s="19">
        <v>61</v>
      </c>
      <c r="D1485" s="19">
        <v>33259</v>
      </c>
      <c r="E1485" s="17">
        <v>30234</v>
      </c>
      <c r="F1485" s="18">
        <f t="shared" si="504"/>
        <v>0.90904717520069755</v>
      </c>
    </row>
    <row r="1486" spans="1:6" ht="23.1" customHeight="1" x14ac:dyDescent="0.25">
      <c r="A1486" s="140" t="s">
        <v>920</v>
      </c>
      <c r="B1486" s="140"/>
      <c r="C1486" s="14">
        <f>SUM(C1487+C1518+C1552+C1571)</f>
        <v>4048</v>
      </c>
      <c r="D1486" s="14">
        <f t="shared" ref="D1486:E1486" si="507">SUM(D1487+D1518+D1552+D1571)</f>
        <v>2869368</v>
      </c>
      <c r="E1486" s="14">
        <f t="shared" si="507"/>
        <v>2384181</v>
      </c>
      <c r="F1486" s="13">
        <f t="shared" si="504"/>
        <v>0.83090806059034605</v>
      </c>
    </row>
    <row r="1487" spans="1:6" ht="23.1" customHeight="1" x14ac:dyDescent="0.25">
      <c r="A1487" s="22"/>
      <c r="B1487" s="22" t="s">
        <v>921</v>
      </c>
      <c r="C1487" s="14">
        <f t="shared" ref="C1487" si="508">SUM(C1488+C1497+C1505)</f>
        <v>1135</v>
      </c>
      <c r="D1487" s="14">
        <f t="shared" ref="D1487:E1487" si="509">SUM(D1488+D1497+D1505)</f>
        <v>780540</v>
      </c>
      <c r="E1487" s="14">
        <f t="shared" si="509"/>
        <v>655186</v>
      </c>
      <c r="F1487" s="13">
        <f t="shared" si="504"/>
        <v>0.83940092756296925</v>
      </c>
    </row>
    <row r="1488" spans="1:6" ht="23.1" customHeight="1" x14ac:dyDescent="0.25">
      <c r="A1488" s="22"/>
      <c r="B1488" s="22" t="s">
        <v>6</v>
      </c>
      <c r="C1488" s="14">
        <f t="shared" ref="C1488" si="510">SUM(C1489:C1496)</f>
        <v>300</v>
      </c>
      <c r="D1488" s="14">
        <f t="shared" ref="D1488:E1488" si="511">SUM(D1489:D1496)</f>
        <v>189224</v>
      </c>
      <c r="E1488" s="14">
        <f t="shared" si="511"/>
        <v>170462</v>
      </c>
      <c r="F1488" s="13">
        <f t="shared" si="504"/>
        <v>0.90084767259967025</v>
      </c>
    </row>
    <row r="1489" spans="1:6" ht="15" customHeight="1" x14ac:dyDescent="0.25">
      <c r="A1489" s="15">
        <v>1</v>
      </c>
      <c r="B1489" s="15" t="s">
        <v>812</v>
      </c>
      <c r="C1489" s="20">
        <v>14</v>
      </c>
      <c r="D1489" s="20">
        <v>6337</v>
      </c>
      <c r="E1489" s="17">
        <v>5694</v>
      </c>
      <c r="F1489" s="18">
        <f t="shared" si="504"/>
        <v>0.89853242859397187</v>
      </c>
    </row>
    <row r="1490" spans="1:6" ht="15" customHeight="1" x14ac:dyDescent="0.25">
      <c r="A1490" s="15">
        <v>2</v>
      </c>
      <c r="B1490" s="15" t="s">
        <v>922</v>
      </c>
      <c r="C1490" s="20">
        <v>19</v>
      </c>
      <c r="D1490" s="20">
        <v>10028</v>
      </c>
      <c r="E1490" s="17">
        <v>8771</v>
      </c>
      <c r="F1490" s="18">
        <f t="shared" si="504"/>
        <v>0.8746509772636617</v>
      </c>
    </row>
    <row r="1491" spans="1:6" ht="15" customHeight="1" x14ac:dyDescent="0.25">
      <c r="A1491" s="15">
        <v>3</v>
      </c>
      <c r="B1491" s="15" t="s">
        <v>1462</v>
      </c>
      <c r="C1491" s="20">
        <v>25</v>
      </c>
      <c r="D1491" s="20">
        <v>14906</v>
      </c>
      <c r="E1491" s="17">
        <v>13252</v>
      </c>
      <c r="F1491" s="18">
        <f t="shared" si="504"/>
        <v>0.88903797128673012</v>
      </c>
    </row>
    <row r="1492" spans="1:6" ht="15" customHeight="1" x14ac:dyDescent="0.25">
      <c r="A1492" s="15">
        <v>4</v>
      </c>
      <c r="B1492" s="15" t="s">
        <v>923</v>
      </c>
      <c r="C1492" s="20">
        <v>46</v>
      </c>
      <c r="D1492" s="20">
        <v>31040</v>
      </c>
      <c r="E1492" s="17">
        <v>27220</v>
      </c>
      <c r="F1492" s="18">
        <f t="shared" si="504"/>
        <v>0.87693298969072164</v>
      </c>
    </row>
    <row r="1493" spans="1:6" ht="15" customHeight="1" x14ac:dyDescent="0.25">
      <c r="A1493" s="15">
        <v>5</v>
      </c>
      <c r="B1493" s="15" t="s">
        <v>1266</v>
      </c>
      <c r="C1493" s="20">
        <v>23</v>
      </c>
      <c r="D1493" s="20">
        <v>14229</v>
      </c>
      <c r="E1493" s="17">
        <v>12912</v>
      </c>
      <c r="F1493" s="18">
        <f t="shared" si="504"/>
        <v>0.9074425469112376</v>
      </c>
    </row>
    <row r="1494" spans="1:6" ht="15" customHeight="1" x14ac:dyDescent="0.25">
      <c r="A1494" s="15">
        <v>6</v>
      </c>
      <c r="B1494" s="15" t="s">
        <v>924</v>
      </c>
      <c r="C1494" s="20">
        <v>44</v>
      </c>
      <c r="D1494" s="20">
        <v>23146</v>
      </c>
      <c r="E1494" s="17">
        <v>20792</v>
      </c>
      <c r="F1494" s="18">
        <f t="shared" si="504"/>
        <v>0.89829776203231659</v>
      </c>
    </row>
    <row r="1495" spans="1:6" ht="15" customHeight="1" x14ac:dyDescent="0.25">
      <c r="A1495" s="23">
        <v>7</v>
      </c>
      <c r="B1495" s="15" t="s">
        <v>925</v>
      </c>
      <c r="C1495" s="20">
        <v>20</v>
      </c>
      <c r="D1495" s="20">
        <v>13936</v>
      </c>
      <c r="E1495" s="17">
        <v>12151</v>
      </c>
      <c r="F1495" s="18">
        <f t="shared" si="504"/>
        <v>0.87191446613088408</v>
      </c>
    </row>
    <row r="1496" spans="1:6" ht="15" customHeight="1" x14ac:dyDescent="0.25">
      <c r="A1496" s="15"/>
      <c r="B1496" s="24" t="s">
        <v>1463</v>
      </c>
      <c r="C1496" s="20">
        <v>109</v>
      </c>
      <c r="D1496" s="20">
        <v>75602</v>
      </c>
      <c r="E1496" s="17">
        <v>69670</v>
      </c>
      <c r="F1496" s="18">
        <f t="shared" si="504"/>
        <v>0.92153646728922511</v>
      </c>
    </row>
    <row r="1497" spans="1:6" ht="23.1" customHeight="1" x14ac:dyDescent="0.25">
      <c r="A1497" s="22"/>
      <c r="B1497" s="22" t="s">
        <v>7</v>
      </c>
      <c r="C1497" s="14">
        <f t="shared" ref="C1497" si="512">SUM(C1498:C1504)</f>
        <v>415</v>
      </c>
      <c r="D1497" s="14">
        <f t="shared" ref="D1497:E1497" si="513">SUM(D1498:D1504)</f>
        <v>309959</v>
      </c>
      <c r="E1497" s="14">
        <f t="shared" si="513"/>
        <v>251430</v>
      </c>
      <c r="F1497" s="13">
        <f t="shared" si="504"/>
        <v>0.81117180014130896</v>
      </c>
    </row>
    <row r="1498" spans="1:6" ht="15" customHeight="1" x14ac:dyDescent="0.25">
      <c r="A1498" s="15">
        <v>1</v>
      </c>
      <c r="B1498" s="15" t="s">
        <v>1464</v>
      </c>
      <c r="C1498" s="20">
        <v>31</v>
      </c>
      <c r="D1498" s="20">
        <v>22288</v>
      </c>
      <c r="E1498" s="17">
        <v>16715</v>
      </c>
      <c r="F1498" s="18">
        <f t="shared" si="504"/>
        <v>0.74995513280689163</v>
      </c>
    </row>
    <row r="1499" spans="1:6" ht="15" customHeight="1" x14ac:dyDescent="0.25">
      <c r="A1499" s="15">
        <v>2</v>
      </c>
      <c r="B1499" s="15" t="s">
        <v>926</v>
      </c>
      <c r="C1499" s="20">
        <v>51</v>
      </c>
      <c r="D1499" s="20">
        <v>33964</v>
      </c>
      <c r="E1499" s="17">
        <v>27860</v>
      </c>
      <c r="F1499" s="18">
        <f t="shared" si="504"/>
        <v>0.82028029678483094</v>
      </c>
    </row>
    <row r="1500" spans="1:6" ht="15" customHeight="1" x14ac:dyDescent="0.25">
      <c r="A1500" s="15">
        <v>3</v>
      </c>
      <c r="B1500" s="15" t="s">
        <v>927</v>
      </c>
      <c r="C1500" s="20">
        <v>36</v>
      </c>
      <c r="D1500" s="20">
        <v>26342</v>
      </c>
      <c r="E1500" s="17">
        <v>21161</v>
      </c>
      <c r="F1500" s="18">
        <f t="shared" si="504"/>
        <v>0.80331789537620535</v>
      </c>
    </row>
    <row r="1501" spans="1:6" ht="15" customHeight="1" x14ac:dyDescent="0.25">
      <c r="A1501" s="15">
        <v>4</v>
      </c>
      <c r="B1501" s="15" t="s">
        <v>928</v>
      </c>
      <c r="C1501" s="20">
        <v>42</v>
      </c>
      <c r="D1501" s="20">
        <v>28550</v>
      </c>
      <c r="E1501" s="17">
        <v>23148</v>
      </c>
      <c r="F1501" s="18">
        <f t="shared" ref="F1501:F1532" si="514">SUM(E1501/D1501)</f>
        <v>0.81078809106830119</v>
      </c>
    </row>
    <row r="1502" spans="1:6" ht="15" customHeight="1" x14ac:dyDescent="0.25">
      <c r="A1502" s="15">
        <v>5</v>
      </c>
      <c r="B1502" s="15" t="s">
        <v>929</v>
      </c>
      <c r="C1502" s="20">
        <v>40</v>
      </c>
      <c r="D1502" s="20">
        <v>28072</v>
      </c>
      <c r="E1502" s="17">
        <v>22511</v>
      </c>
      <c r="F1502" s="18">
        <f t="shared" si="514"/>
        <v>0.801902251353662</v>
      </c>
    </row>
    <row r="1503" spans="1:6" ht="15" customHeight="1" x14ac:dyDescent="0.25">
      <c r="A1503" s="23">
        <v>6</v>
      </c>
      <c r="B1503" s="15" t="s">
        <v>930</v>
      </c>
      <c r="C1503" s="20">
        <v>99</v>
      </c>
      <c r="D1503" s="20">
        <v>72505</v>
      </c>
      <c r="E1503" s="17">
        <v>59469</v>
      </c>
      <c r="F1503" s="18">
        <f t="shared" si="514"/>
        <v>0.82020550306875384</v>
      </c>
    </row>
    <row r="1504" spans="1:6" ht="15" customHeight="1" x14ac:dyDescent="0.25">
      <c r="A1504" s="15"/>
      <c r="B1504" s="24" t="s">
        <v>1465</v>
      </c>
      <c r="C1504" s="20">
        <v>116</v>
      </c>
      <c r="D1504" s="20">
        <v>98238</v>
      </c>
      <c r="E1504" s="17">
        <v>80566</v>
      </c>
      <c r="F1504" s="18">
        <f t="shared" si="514"/>
        <v>0.8201103442659663</v>
      </c>
    </row>
    <row r="1505" spans="1:6" ht="23.1" customHeight="1" x14ac:dyDescent="0.25">
      <c r="A1505" s="22"/>
      <c r="B1505" s="22" t="s">
        <v>8</v>
      </c>
      <c r="C1505" s="14">
        <f t="shared" ref="C1505" si="515">SUM(C1506:C1517)</f>
        <v>420</v>
      </c>
      <c r="D1505" s="14">
        <f t="shared" ref="D1505:E1505" si="516">SUM(D1506:D1517)</f>
        <v>281357</v>
      </c>
      <c r="E1505" s="14">
        <f t="shared" si="516"/>
        <v>233294</v>
      </c>
      <c r="F1505" s="13">
        <f t="shared" si="514"/>
        <v>0.82917432301311145</v>
      </c>
    </row>
    <row r="1506" spans="1:6" ht="15" customHeight="1" x14ac:dyDescent="0.25">
      <c r="A1506" s="15">
        <v>1</v>
      </c>
      <c r="B1506" s="15" t="s">
        <v>1610</v>
      </c>
      <c r="C1506" s="20">
        <v>28</v>
      </c>
      <c r="D1506" s="20">
        <v>20210</v>
      </c>
      <c r="E1506" s="17">
        <v>17029</v>
      </c>
      <c r="F1506" s="18">
        <f t="shared" si="514"/>
        <v>0.84260267194458194</v>
      </c>
    </row>
    <row r="1507" spans="1:6" ht="15" customHeight="1" x14ac:dyDescent="0.25">
      <c r="A1507" s="15">
        <v>2</v>
      </c>
      <c r="B1507" s="15" t="s">
        <v>931</v>
      </c>
      <c r="C1507" s="20">
        <v>24</v>
      </c>
      <c r="D1507" s="20">
        <v>15352</v>
      </c>
      <c r="E1507" s="17">
        <v>12334</v>
      </c>
      <c r="F1507" s="18">
        <f t="shared" si="514"/>
        <v>0.80341323606044812</v>
      </c>
    </row>
    <row r="1508" spans="1:6" ht="15" customHeight="1" x14ac:dyDescent="0.25">
      <c r="A1508" s="15">
        <v>3</v>
      </c>
      <c r="B1508" s="15" t="s">
        <v>932</v>
      </c>
      <c r="C1508" s="20">
        <v>20</v>
      </c>
      <c r="D1508" s="20">
        <v>12256</v>
      </c>
      <c r="E1508" s="17">
        <v>10678</v>
      </c>
      <c r="F1508" s="18">
        <f t="shared" si="514"/>
        <v>0.87124673629242821</v>
      </c>
    </row>
    <row r="1509" spans="1:6" ht="15" customHeight="1" x14ac:dyDescent="0.25">
      <c r="A1509" s="23">
        <v>4</v>
      </c>
      <c r="B1509" s="15" t="s">
        <v>933</v>
      </c>
      <c r="C1509" s="20">
        <v>41</v>
      </c>
      <c r="D1509" s="20">
        <v>27304</v>
      </c>
      <c r="E1509" s="17">
        <v>23867</v>
      </c>
      <c r="F1509" s="18">
        <f t="shared" si="514"/>
        <v>0.87412100791092884</v>
      </c>
    </row>
    <row r="1510" spans="1:6" ht="15" customHeight="1" x14ac:dyDescent="0.25">
      <c r="A1510" s="15">
        <v>5</v>
      </c>
      <c r="B1510" s="15" t="s">
        <v>934</v>
      </c>
      <c r="C1510" s="20">
        <v>24</v>
      </c>
      <c r="D1510" s="20">
        <v>17127</v>
      </c>
      <c r="E1510" s="17">
        <v>14201</v>
      </c>
      <c r="F1510" s="18">
        <f t="shared" si="514"/>
        <v>0.82915863840719328</v>
      </c>
    </row>
    <row r="1511" spans="1:6" ht="15" customHeight="1" x14ac:dyDescent="0.25">
      <c r="A1511" s="15">
        <v>6</v>
      </c>
      <c r="B1511" s="15" t="s">
        <v>935</v>
      </c>
      <c r="C1511" s="20">
        <v>45</v>
      </c>
      <c r="D1511" s="20">
        <v>33125</v>
      </c>
      <c r="E1511" s="17">
        <v>25551</v>
      </c>
      <c r="F1511" s="18">
        <f t="shared" si="514"/>
        <v>0.77135094339622645</v>
      </c>
    </row>
    <row r="1512" spans="1:6" ht="15" customHeight="1" x14ac:dyDescent="0.25">
      <c r="A1512" s="23">
        <v>7</v>
      </c>
      <c r="B1512" s="15" t="s">
        <v>936</v>
      </c>
      <c r="C1512" s="20">
        <v>49</v>
      </c>
      <c r="D1512" s="20">
        <v>32607</v>
      </c>
      <c r="E1512" s="17">
        <v>27510</v>
      </c>
      <c r="F1512" s="18">
        <f t="shared" si="514"/>
        <v>0.84368387156132119</v>
      </c>
    </row>
    <row r="1513" spans="1:6" ht="15" customHeight="1" x14ac:dyDescent="0.25">
      <c r="A1513" s="15">
        <v>8</v>
      </c>
      <c r="B1513" s="15" t="s">
        <v>937</v>
      </c>
      <c r="C1513" s="20">
        <v>34</v>
      </c>
      <c r="D1513" s="20">
        <v>23433</v>
      </c>
      <c r="E1513" s="17">
        <v>20074</v>
      </c>
      <c r="F1513" s="18">
        <f t="shared" si="514"/>
        <v>0.85665514445440194</v>
      </c>
    </row>
    <row r="1514" spans="1:6" ht="15" customHeight="1" x14ac:dyDescent="0.25">
      <c r="A1514" s="23">
        <v>9</v>
      </c>
      <c r="B1514" s="15" t="s">
        <v>938</v>
      </c>
      <c r="C1514" s="20">
        <v>47</v>
      </c>
      <c r="D1514" s="20">
        <v>33122</v>
      </c>
      <c r="E1514" s="17">
        <v>25537</v>
      </c>
      <c r="F1514" s="18">
        <f t="shared" si="514"/>
        <v>0.77099812813235913</v>
      </c>
    </row>
    <row r="1515" spans="1:6" ht="15" customHeight="1" x14ac:dyDescent="0.25">
      <c r="A1515" s="15">
        <v>10</v>
      </c>
      <c r="B1515" s="15" t="s">
        <v>939</v>
      </c>
      <c r="C1515" s="20">
        <v>44</v>
      </c>
      <c r="D1515" s="20">
        <v>30503</v>
      </c>
      <c r="E1515" s="17">
        <v>26285</v>
      </c>
      <c r="F1515" s="18">
        <f t="shared" si="514"/>
        <v>0.8617185194898862</v>
      </c>
    </row>
    <row r="1516" spans="1:6" ht="15" customHeight="1" x14ac:dyDescent="0.25">
      <c r="A1516" s="15">
        <v>11</v>
      </c>
      <c r="B1516" s="15" t="s">
        <v>940</v>
      </c>
      <c r="C1516" s="20">
        <v>36</v>
      </c>
      <c r="D1516" s="20">
        <v>18809</v>
      </c>
      <c r="E1516" s="17">
        <v>14884</v>
      </c>
      <c r="F1516" s="18">
        <f t="shared" si="514"/>
        <v>0.79132330267425166</v>
      </c>
    </row>
    <row r="1517" spans="1:6" ht="15" customHeight="1" x14ac:dyDescent="0.25">
      <c r="A1517" s="15">
        <v>12</v>
      </c>
      <c r="B1517" s="15" t="s">
        <v>941</v>
      </c>
      <c r="C1517" s="20">
        <v>28</v>
      </c>
      <c r="D1517" s="20">
        <v>17509</v>
      </c>
      <c r="E1517" s="17">
        <v>15344</v>
      </c>
      <c r="F1517" s="18">
        <f t="shared" si="514"/>
        <v>0.87634930607116335</v>
      </c>
    </row>
    <row r="1518" spans="1:6" ht="23.1" customHeight="1" x14ac:dyDescent="0.25">
      <c r="A1518" s="22"/>
      <c r="B1518" s="22" t="s">
        <v>942</v>
      </c>
      <c r="C1518" s="14">
        <f>SUM(C1519+C1532+C1549)</f>
        <v>1627</v>
      </c>
      <c r="D1518" s="14">
        <f>SUM(D1519+D1532+D1549)</f>
        <v>1196013</v>
      </c>
      <c r="E1518" s="14">
        <f>SUM(E1519+E1532+E1549)</f>
        <v>975416</v>
      </c>
      <c r="F1518" s="13">
        <f t="shared" si="514"/>
        <v>0.81555635264834081</v>
      </c>
    </row>
    <row r="1519" spans="1:6" ht="23.1" customHeight="1" x14ac:dyDescent="0.25">
      <c r="A1519" s="22"/>
      <c r="B1519" s="22" t="s">
        <v>6</v>
      </c>
      <c r="C1519" s="14">
        <f t="shared" ref="C1519" si="517">SUM(C1520:C1531)</f>
        <v>617</v>
      </c>
      <c r="D1519" s="14">
        <f t="shared" ref="D1519:E1519" si="518">SUM(D1520:D1531)</f>
        <v>429807</v>
      </c>
      <c r="E1519" s="14">
        <f t="shared" si="518"/>
        <v>364196</v>
      </c>
      <c r="F1519" s="13">
        <f t="shared" si="514"/>
        <v>0.84734776306574811</v>
      </c>
    </row>
    <row r="1520" spans="1:6" ht="15" customHeight="1" x14ac:dyDescent="0.25">
      <c r="A1520" s="15">
        <v>1</v>
      </c>
      <c r="B1520" s="15" t="s">
        <v>243</v>
      </c>
      <c r="C1520" s="19">
        <v>60</v>
      </c>
      <c r="D1520" s="19">
        <v>37413</v>
      </c>
      <c r="E1520" s="17">
        <v>31552</v>
      </c>
      <c r="F1520" s="18">
        <f t="shared" si="514"/>
        <v>0.84334322294389652</v>
      </c>
    </row>
    <row r="1521" spans="1:6" ht="15" customHeight="1" x14ac:dyDescent="0.25">
      <c r="A1521" s="15">
        <v>2</v>
      </c>
      <c r="B1521" s="15" t="s">
        <v>943</v>
      </c>
      <c r="C1521" s="19">
        <v>52</v>
      </c>
      <c r="D1521" s="19">
        <v>30932</v>
      </c>
      <c r="E1521" s="17">
        <v>26509</v>
      </c>
      <c r="F1521" s="18">
        <f t="shared" si="514"/>
        <v>0.85700892279839647</v>
      </c>
    </row>
    <row r="1522" spans="1:6" ht="15" customHeight="1" x14ac:dyDescent="0.25">
      <c r="A1522" s="15">
        <v>3</v>
      </c>
      <c r="B1522" s="15" t="s">
        <v>944</v>
      </c>
      <c r="C1522" s="19">
        <v>16</v>
      </c>
      <c r="D1522" s="19">
        <v>7971</v>
      </c>
      <c r="E1522" s="17">
        <v>7104</v>
      </c>
      <c r="F1522" s="18">
        <f t="shared" si="514"/>
        <v>0.89123071132856602</v>
      </c>
    </row>
    <row r="1523" spans="1:6" ht="15" customHeight="1" x14ac:dyDescent="0.25">
      <c r="A1523" s="15">
        <v>4</v>
      </c>
      <c r="B1523" s="15" t="s">
        <v>945</v>
      </c>
      <c r="C1523" s="19">
        <v>45</v>
      </c>
      <c r="D1523" s="19">
        <v>31550</v>
      </c>
      <c r="E1523" s="17">
        <v>25701</v>
      </c>
      <c r="F1523" s="18">
        <f t="shared" si="514"/>
        <v>0.81461172741679877</v>
      </c>
    </row>
    <row r="1524" spans="1:6" ht="15" customHeight="1" x14ac:dyDescent="0.25">
      <c r="A1524" s="15">
        <v>5</v>
      </c>
      <c r="B1524" s="15" t="s">
        <v>946</v>
      </c>
      <c r="C1524" s="19">
        <v>44</v>
      </c>
      <c r="D1524" s="19">
        <v>32693</v>
      </c>
      <c r="E1524" s="17">
        <v>25744</v>
      </c>
      <c r="F1524" s="18">
        <f t="shared" si="514"/>
        <v>0.78744685406661974</v>
      </c>
    </row>
    <row r="1525" spans="1:6" ht="15" customHeight="1" x14ac:dyDescent="0.25">
      <c r="A1525" s="15">
        <v>6</v>
      </c>
      <c r="B1525" s="15" t="s">
        <v>947</v>
      </c>
      <c r="C1525" s="19">
        <v>38</v>
      </c>
      <c r="D1525" s="19">
        <v>22619</v>
      </c>
      <c r="E1525" s="17">
        <v>19965</v>
      </c>
      <c r="F1525" s="18">
        <f t="shared" si="514"/>
        <v>0.88266501613687609</v>
      </c>
    </row>
    <row r="1526" spans="1:6" ht="15" customHeight="1" x14ac:dyDescent="0.25">
      <c r="A1526" s="15">
        <v>7</v>
      </c>
      <c r="B1526" s="15" t="s">
        <v>948</v>
      </c>
      <c r="C1526" s="19">
        <v>46</v>
      </c>
      <c r="D1526" s="19">
        <v>33459</v>
      </c>
      <c r="E1526" s="17">
        <v>27944</v>
      </c>
      <c r="F1526" s="18">
        <f t="shared" si="514"/>
        <v>0.83517140380764521</v>
      </c>
    </row>
    <row r="1527" spans="1:6" ht="15" customHeight="1" x14ac:dyDescent="0.25">
      <c r="A1527" s="15">
        <v>8</v>
      </c>
      <c r="B1527" s="15" t="s">
        <v>1466</v>
      </c>
      <c r="C1527" s="19">
        <v>31</v>
      </c>
      <c r="D1527" s="19">
        <v>18056</v>
      </c>
      <c r="E1527" s="17">
        <v>14871</v>
      </c>
      <c r="F1527" s="18">
        <f t="shared" si="514"/>
        <v>0.82360434204696498</v>
      </c>
    </row>
    <row r="1528" spans="1:6" ht="15" customHeight="1" x14ac:dyDescent="0.25">
      <c r="A1528" s="15">
        <v>9</v>
      </c>
      <c r="B1528" s="15" t="s">
        <v>1467</v>
      </c>
      <c r="C1528" s="19">
        <v>20</v>
      </c>
      <c r="D1528" s="19">
        <v>10862</v>
      </c>
      <c r="E1528" s="17">
        <v>9187</v>
      </c>
      <c r="F1528" s="18">
        <f t="shared" si="514"/>
        <v>0.8457926716995029</v>
      </c>
    </row>
    <row r="1529" spans="1:6" ht="15" customHeight="1" x14ac:dyDescent="0.25">
      <c r="A1529" s="15">
        <v>10</v>
      </c>
      <c r="B1529" s="15" t="s">
        <v>949</v>
      </c>
      <c r="C1529" s="19">
        <v>43</v>
      </c>
      <c r="D1529" s="19">
        <v>25788</v>
      </c>
      <c r="E1529" s="17">
        <v>22427</v>
      </c>
      <c r="F1529" s="18">
        <f t="shared" si="514"/>
        <v>0.86966806266480534</v>
      </c>
    </row>
    <row r="1530" spans="1:6" ht="15" customHeight="1" x14ac:dyDescent="0.25">
      <c r="A1530" s="15">
        <v>11</v>
      </c>
      <c r="B1530" s="15" t="s">
        <v>950</v>
      </c>
      <c r="C1530" s="19">
        <v>43</v>
      </c>
      <c r="D1530" s="19">
        <v>28987</v>
      </c>
      <c r="E1530" s="17">
        <v>23433</v>
      </c>
      <c r="F1530" s="18">
        <f t="shared" si="514"/>
        <v>0.80839686756132056</v>
      </c>
    </row>
    <row r="1531" spans="1:6" ht="15" customHeight="1" x14ac:dyDescent="0.25">
      <c r="A1531" s="15"/>
      <c r="B1531" s="24" t="s">
        <v>1468</v>
      </c>
      <c r="C1531" s="19">
        <v>179</v>
      </c>
      <c r="D1531" s="19">
        <v>149477</v>
      </c>
      <c r="E1531" s="17">
        <v>129759</v>
      </c>
      <c r="F1531" s="18">
        <f t="shared" si="514"/>
        <v>0.86808672906199613</v>
      </c>
    </row>
    <row r="1532" spans="1:6" ht="23.1" customHeight="1" x14ac:dyDescent="0.25">
      <c r="A1532" s="22"/>
      <c r="B1532" s="22" t="s">
        <v>7</v>
      </c>
      <c r="C1532" s="14">
        <f t="shared" ref="C1532" si="519">SUM(C1533:C1547)</f>
        <v>444</v>
      </c>
      <c r="D1532" s="14">
        <f t="shared" ref="D1532:E1532" si="520">SUM(D1533:D1547)</f>
        <v>283148</v>
      </c>
      <c r="E1532" s="14">
        <f t="shared" si="520"/>
        <v>238787</v>
      </c>
      <c r="F1532" s="13">
        <f t="shared" si="514"/>
        <v>0.84332928362552451</v>
      </c>
    </row>
    <row r="1533" spans="1:6" ht="15" customHeight="1" x14ac:dyDescent="0.25">
      <c r="A1533" s="15">
        <v>1</v>
      </c>
      <c r="B1533" s="15" t="s">
        <v>951</v>
      </c>
      <c r="C1533" s="19">
        <v>35</v>
      </c>
      <c r="D1533" s="19">
        <v>21967</v>
      </c>
      <c r="E1533" s="17">
        <v>19738</v>
      </c>
      <c r="F1533" s="18">
        <f t="shared" ref="F1533:F1547" si="521">SUM(E1533/D1533)</f>
        <v>0.89852961260071929</v>
      </c>
    </row>
    <row r="1534" spans="1:6" ht="15" customHeight="1" x14ac:dyDescent="0.25">
      <c r="A1534" s="15">
        <v>2</v>
      </c>
      <c r="B1534" s="15" t="s">
        <v>952</v>
      </c>
      <c r="C1534" s="19">
        <v>37</v>
      </c>
      <c r="D1534" s="19">
        <v>22755</v>
      </c>
      <c r="E1534" s="17">
        <v>16059</v>
      </c>
      <c r="F1534" s="18">
        <f t="shared" si="521"/>
        <v>0.70573500329597894</v>
      </c>
    </row>
    <row r="1535" spans="1:6" ht="15" customHeight="1" x14ac:dyDescent="0.25">
      <c r="A1535" s="15">
        <v>3</v>
      </c>
      <c r="B1535" s="15" t="s">
        <v>953</v>
      </c>
      <c r="C1535" s="19">
        <v>37</v>
      </c>
      <c r="D1535" s="19">
        <v>21996</v>
      </c>
      <c r="E1535" s="17">
        <v>18307</v>
      </c>
      <c r="F1535" s="18">
        <f t="shared" si="521"/>
        <v>0.83228768867066738</v>
      </c>
    </row>
    <row r="1536" spans="1:6" ht="15" customHeight="1" x14ac:dyDescent="0.25">
      <c r="A1536" s="15">
        <v>4</v>
      </c>
      <c r="B1536" s="15" t="s">
        <v>954</v>
      </c>
      <c r="C1536" s="19">
        <v>37</v>
      </c>
      <c r="D1536" s="19">
        <v>22931</v>
      </c>
      <c r="E1536" s="17">
        <v>20392</v>
      </c>
      <c r="F1536" s="18">
        <f t="shared" si="521"/>
        <v>0.8892765252278575</v>
      </c>
    </row>
    <row r="1537" spans="1:6" ht="15" customHeight="1" x14ac:dyDescent="0.25">
      <c r="A1537" s="15">
        <v>5</v>
      </c>
      <c r="B1537" s="15" t="s">
        <v>955</v>
      </c>
      <c r="C1537" s="19">
        <v>29</v>
      </c>
      <c r="D1537" s="19">
        <v>20020</v>
      </c>
      <c r="E1537" s="17">
        <v>16552</v>
      </c>
      <c r="F1537" s="18">
        <f t="shared" si="521"/>
        <v>0.82677322677322673</v>
      </c>
    </row>
    <row r="1538" spans="1:6" ht="15" customHeight="1" x14ac:dyDescent="0.25">
      <c r="A1538" s="15">
        <v>6</v>
      </c>
      <c r="B1538" s="15" t="s">
        <v>956</v>
      </c>
      <c r="C1538" s="19">
        <v>29</v>
      </c>
      <c r="D1538" s="19">
        <v>20895</v>
      </c>
      <c r="E1538" s="17">
        <v>18019</v>
      </c>
      <c r="F1538" s="18">
        <f t="shared" si="521"/>
        <v>0.86235941612826039</v>
      </c>
    </row>
    <row r="1539" spans="1:6" ht="15" customHeight="1" x14ac:dyDescent="0.25">
      <c r="A1539" s="15">
        <v>7</v>
      </c>
      <c r="B1539" s="15" t="s">
        <v>957</v>
      </c>
      <c r="C1539" s="19">
        <v>22</v>
      </c>
      <c r="D1539" s="19">
        <v>14410</v>
      </c>
      <c r="E1539" s="17">
        <v>12133</v>
      </c>
      <c r="F1539" s="18">
        <f t="shared" si="521"/>
        <v>0.84198473282442743</v>
      </c>
    </row>
    <row r="1540" spans="1:6" ht="15" customHeight="1" x14ac:dyDescent="0.25">
      <c r="A1540" s="15">
        <v>8</v>
      </c>
      <c r="B1540" s="15" t="s">
        <v>958</v>
      </c>
      <c r="C1540" s="19">
        <v>33</v>
      </c>
      <c r="D1540" s="19">
        <v>17071</v>
      </c>
      <c r="E1540" s="17">
        <v>13952</v>
      </c>
      <c r="F1540" s="18">
        <f t="shared" si="521"/>
        <v>0.81729248433015056</v>
      </c>
    </row>
    <row r="1541" spans="1:6" ht="15" customHeight="1" x14ac:dyDescent="0.25">
      <c r="A1541" s="15">
        <v>9</v>
      </c>
      <c r="B1541" s="15" t="s">
        <v>959</v>
      </c>
      <c r="C1541" s="19">
        <v>30</v>
      </c>
      <c r="D1541" s="19">
        <v>22207</v>
      </c>
      <c r="E1541" s="17">
        <v>18528</v>
      </c>
      <c r="F1541" s="18">
        <f t="shared" si="521"/>
        <v>0.83433151708920605</v>
      </c>
    </row>
    <row r="1542" spans="1:6" ht="15" customHeight="1" x14ac:dyDescent="0.25">
      <c r="A1542" s="15">
        <v>10</v>
      </c>
      <c r="B1542" s="15" t="s">
        <v>469</v>
      </c>
      <c r="C1542" s="19">
        <v>23</v>
      </c>
      <c r="D1542" s="19">
        <v>17364</v>
      </c>
      <c r="E1542" s="17">
        <v>14912</v>
      </c>
      <c r="F1542" s="18">
        <f t="shared" si="521"/>
        <v>0.85878829762727482</v>
      </c>
    </row>
    <row r="1543" spans="1:6" ht="15" customHeight="1" x14ac:dyDescent="0.25">
      <c r="A1543" s="15">
        <v>11</v>
      </c>
      <c r="B1543" s="15" t="s">
        <v>317</v>
      </c>
      <c r="C1543" s="19">
        <v>25</v>
      </c>
      <c r="D1543" s="19">
        <v>15281</v>
      </c>
      <c r="E1543" s="17">
        <v>13325</v>
      </c>
      <c r="F1543" s="18">
        <f t="shared" si="521"/>
        <v>0.87199790589621096</v>
      </c>
    </row>
    <row r="1544" spans="1:6" ht="15" customHeight="1" x14ac:dyDescent="0.25">
      <c r="A1544" s="15">
        <v>12</v>
      </c>
      <c r="B1544" s="15" t="s">
        <v>241</v>
      </c>
      <c r="C1544" s="19">
        <v>33</v>
      </c>
      <c r="D1544" s="19">
        <v>18933</v>
      </c>
      <c r="E1544" s="17">
        <v>16584</v>
      </c>
      <c r="F1544" s="18">
        <f t="shared" si="521"/>
        <v>0.87593091427665981</v>
      </c>
    </row>
    <row r="1545" spans="1:6" ht="15" customHeight="1" x14ac:dyDescent="0.25">
      <c r="A1545" s="15">
        <v>13</v>
      </c>
      <c r="B1545" s="15" t="s">
        <v>960</v>
      </c>
      <c r="C1545" s="19">
        <v>25</v>
      </c>
      <c r="D1545" s="19">
        <v>17195</v>
      </c>
      <c r="E1545" s="17">
        <v>14844</v>
      </c>
      <c r="F1545" s="18">
        <f t="shared" si="521"/>
        <v>0.86327420761849372</v>
      </c>
    </row>
    <row r="1546" spans="1:6" ht="15" customHeight="1" x14ac:dyDescent="0.25">
      <c r="A1546" s="15">
        <v>14</v>
      </c>
      <c r="B1546" s="15" t="s">
        <v>1267</v>
      </c>
      <c r="C1546" s="19">
        <v>24</v>
      </c>
      <c r="D1546" s="19">
        <v>14002</v>
      </c>
      <c r="E1546" s="17">
        <v>11788</v>
      </c>
      <c r="F1546" s="18">
        <f t="shared" si="521"/>
        <v>0.84187973146693329</v>
      </c>
    </row>
    <row r="1547" spans="1:6" ht="15" customHeight="1" x14ac:dyDescent="0.25">
      <c r="A1547" s="15">
        <v>15</v>
      </c>
      <c r="B1547" s="15" t="s">
        <v>961</v>
      </c>
      <c r="C1547" s="19">
        <v>25</v>
      </c>
      <c r="D1547" s="19">
        <v>16121</v>
      </c>
      <c r="E1547" s="17">
        <v>13654</v>
      </c>
      <c r="F1547" s="18">
        <f t="shared" si="521"/>
        <v>0.84696979095589608</v>
      </c>
    </row>
    <row r="1548" spans="1:6" ht="23.1" customHeight="1" x14ac:dyDescent="0.25">
      <c r="A1548" s="22"/>
      <c r="B1548" s="22" t="s">
        <v>808</v>
      </c>
      <c r="C1548" s="21"/>
      <c r="D1548" s="21"/>
      <c r="E1548" s="21"/>
      <c r="F1548" s="18"/>
    </row>
    <row r="1549" spans="1:6" ht="15" customHeight="1" x14ac:dyDescent="0.25">
      <c r="A1549" s="15"/>
      <c r="B1549" s="24" t="s">
        <v>1469</v>
      </c>
      <c r="C1549" s="14">
        <f t="shared" ref="C1549" si="522">SUM(C1550:C1551)</f>
        <v>566</v>
      </c>
      <c r="D1549" s="14">
        <f t="shared" ref="D1549:E1549" si="523">SUM(D1550:D1551)</f>
        <v>483058</v>
      </c>
      <c r="E1549" s="14">
        <f t="shared" si="523"/>
        <v>372433</v>
      </c>
      <c r="F1549" s="13">
        <f t="shared" ref="F1549:F1602" si="524">SUM(E1549/D1549)</f>
        <v>0.77099023305689995</v>
      </c>
    </row>
    <row r="1550" spans="1:6" ht="15" customHeight="1" x14ac:dyDescent="0.25">
      <c r="A1550" s="15"/>
      <c r="B1550" s="15" t="s">
        <v>6</v>
      </c>
      <c r="C1550" s="20">
        <v>259</v>
      </c>
      <c r="D1550" s="20">
        <v>224316</v>
      </c>
      <c r="E1550" s="16">
        <v>170926</v>
      </c>
      <c r="F1550" s="18">
        <f t="shared" si="524"/>
        <v>0.76198755327306122</v>
      </c>
    </row>
    <row r="1551" spans="1:6" ht="15" customHeight="1" x14ac:dyDescent="0.25">
      <c r="A1551" s="15"/>
      <c r="B1551" s="15" t="s">
        <v>7</v>
      </c>
      <c r="C1551" s="19">
        <v>307</v>
      </c>
      <c r="D1551" s="19">
        <v>258742</v>
      </c>
      <c r="E1551" s="16">
        <v>201507</v>
      </c>
      <c r="F1551" s="18">
        <f t="shared" si="524"/>
        <v>0.77879509318162499</v>
      </c>
    </row>
    <row r="1552" spans="1:6" ht="23.1" customHeight="1" x14ac:dyDescent="0.25">
      <c r="A1552" s="22"/>
      <c r="B1552" s="22" t="s">
        <v>962</v>
      </c>
      <c r="C1552" s="14">
        <f t="shared" ref="C1552" si="525">SUM(C1553+C1563)</f>
        <v>623</v>
      </c>
      <c r="D1552" s="14">
        <f t="shared" ref="D1552:E1552" si="526">SUM(D1553+D1563)</f>
        <v>428422</v>
      </c>
      <c r="E1552" s="14">
        <f t="shared" si="526"/>
        <v>357975</v>
      </c>
      <c r="F1552" s="13">
        <f t="shared" si="524"/>
        <v>0.83556633412849945</v>
      </c>
    </row>
    <row r="1553" spans="1:6" ht="23.1" customHeight="1" x14ac:dyDescent="0.25">
      <c r="A1553" s="22"/>
      <c r="B1553" s="22" t="s">
        <v>6</v>
      </c>
      <c r="C1553" s="14">
        <f t="shared" ref="C1553" si="527">SUM(C1554:C1562)</f>
        <v>278</v>
      </c>
      <c r="D1553" s="14">
        <f t="shared" ref="D1553:E1553" si="528">SUM(D1554:D1562)</f>
        <v>179359</v>
      </c>
      <c r="E1553" s="14">
        <f t="shared" si="528"/>
        <v>151458</v>
      </c>
      <c r="F1553" s="13">
        <f t="shared" si="524"/>
        <v>0.8444404797082945</v>
      </c>
    </row>
    <row r="1554" spans="1:6" ht="15" customHeight="1" x14ac:dyDescent="0.25">
      <c r="A1554" s="15">
        <v>1</v>
      </c>
      <c r="B1554" s="15" t="s">
        <v>251</v>
      </c>
      <c r="C1554" s="19">
        <v>37</v>
      </c>
      <c r="D1554" s="19">
        <v>25212</v>
      </c>
      <c r="E1554" s="17">
        <v>20625</v>
      </c>
      <c r="F1554" s="18">
        <f t="shared" si="524"/>
        <v>0.81806282722513091</v>
      </c>
    </row>
    <row r="1555" spans="1:6" ht="15" customHeight="1" x14ac:dyDescent="0.25">
      <c r="A1555" s="15">
        <v>2</v>
      </c>
      <c r="B1555" s="15" t="s">
        <v>963</v>
      </c>
      <c r="C1555" s="19">
        <v>38</v>
      </c>
      <c r="D1555" s="19">
        <v>24616</v>
      </c>
      <c r="E1555" s="17">
        <v>20679</v>
      </c>
      <c r="F1555" s="18">
        <f t="shared" si="524"/>
        <v>0.84006337341566462</v>
      </c>
    </row>
    <row r="1556" spans="1:6" ht="15" customHeight="1" x14ac:dyDescent="0.25">
      <c r="A1556" s="15">
        <v>3</v>
      </c>
      <c r="B1556" s="15" t="s">
        <v>964</v>
      </c>
      <c r="C1556" s="19">
        <v>31</v>
      </c>
      <c r="D1556" s="19">
        <v>22160</v>
      </c>
      <c r="E1556" s="17">
        <v>19029</v>
      </c>
      <c r="F1556" s="18">
        <f t="shared" si="524"/>
        <v>0.85870938628158844</v>
      </c>
    </row>
    <row r="1557" spans="1:6" ht="15" customHeight="1" x14ac:dyDescent="0.25">
      <c r="A1557" s="15">
        <v>4</v>
      </c>
      <c r="B1557" s="15" t="s">
        <v>965</v>
      </c>
      <c r="C1557" s="19">
        <v>30</v>
      </c>
      <c r="D1557" s="19">
        <v>18877</v>
      </c>
      <c r="E1557" s="17">
        <v>16618</v>
      </c>
      <c r="F1557" s="18">
        <f t="shared" si="524"/>
        <v>0.88033056100015894</v>
      </c>
    </row>
    <row r="1558" spans="1:6" ht="15" customHeight="1" x14ac:dyDescent="0.25">
      <c r="A1558" s="15">
        <v>5</v>
      </c>
      <c r="B1558" s="15" t="s">
        <v>966</v>
      </c>
      <c r="C1558" s="19">
        <v>25</v>
      </c>
      <c r="D1558" s="19">
        <v>15819</v>
      </c>
      <c r="E1558" s="17">
        <v>12686</v>
      </c>
      <c r="F1558" s="18">
        <f t="shared" si="524"/>
        <v>0.80194702572855425</v>
      </c>
    </row>
    <row r="1559" spans="1:6" ht="15" customHeight="1" x14ac:dyDescent="0.25">
      <c r="A1559" s="15">
        <v>6</v>
      </c>
      <c r="B1559" s="15" t="s">
        <v>967</v>
      </c>
      <c r="C1559" s="19">
        <v>35</v>
      </c>
      <c r="D1559" s="19">
        <v>22123</v>
      </c>
      <c r="E1559" s="17">
        <v>18656</v>
      </c>
      <c r="F1559" s="18">
        <f t="shared" si="524"/>
        <v>0.84328526872485643</v>
      </c>
    </row>
    <row r="1560" spans="1:6" ht="15" customHeight="1" x14ac:dyDescent="0.25">
      <c r="A1560" s="15">
        <v>7</v>
      </c>
      <c r="B1560" s="15" t="s">
        <v>968</v>
      </c>
      <c r="C1560" s="19">
        <v>28</v>
      </c>
      <c r="D1560" s="19">
        <v>17628</v>
      </c>
      <c r="E1560" s="17">
        <v>15403</v>
      </c>
      <c r="F1560" s="18">
        <f t="shared" si="524"/>
        <v>0.87378034944406624</v>
      </c>
    </row>
    <row r="1561" spans="1:6" ht="15" customHeight="1" x14ac:dyDescent="0.25">
      <c r="A1561" s="15">
        <v>8</v>
      </c>
      <c r="B1561" s="15" t="s">
        <v>969</v>
      </c>
      <c r="C1561" s="19">
        <v>36</v>
      </c>
      <c r="D1561" s="19">
        <v>21784</v>
      </c>
      <c r="E1561" s="17">
        <v>18441</v>
      </c>
      <c r="F1561" s="18">
        <f t="shared" si="524"/>
        <v>0.84653874403231733</v>
      </c>
    </row>
    <row r="1562" spans="1:6" ht="15" customHeight="1" x14ac:dyDescent="0.25">
      <c r="A1562" s="15">
        <v>9</v>
      </c>
      <c r="B1562" s="15" t="s">
        <v>1268</v>
      </c>
      <c r="C1562" s="19">
        <v>18</v>
      </c>
      <c r="D1562" s="19">
        <v>11140</v>
      </c>
      <c r="E1562" s="17">
        <v>9321</v>
      </c>
      <c r="F1562" s="18">
        <f t="shared" si="524"/>
        <v>0.83671454219030517</v>
      </c>
    </row>
    <row r="1563" spans="1:6" ht="23.1" customHeight="1" x14ac:dyDescent="0.25">
      <c r="A1563" s="22"/>
      <c r="B1563" s="22" t="s">
        <v>7</v>
      </c>
      <c r="C1563" s="14">
        <f t="shared" ref="C1563" si="529">SUM(C1564:C1570)</f>
        <v>345</v>
      </c>
      <c r="D1563" s="14">
        <f t="shared" ref="D1563:E1563" si="530">SUM(D1564:D1570)</f>
        <v>249063</v>
      </c>
      <c r="E1563" s="14">
        <f t="shared" si="530"/>
        <v>206517</v>
      </c>
      <c r="F1563" s="13">
        <f t="shared" si="524"/>
        <v>0.82917575071367489</v>
      </c>
    </row>
    <row r="1564" spans="1:6" ht="15" customHeight="1" x14ac:dyDescent="0.25">
      <c r="A1564" s="15">
        <v>1</v>
      </c>
      <c r="B1564" s="15" t="s">
        <v>1470</v>
      </c>
      <c r="C1564" s="20">
        <v>74</v>
      </c>
      <c r="D1564" s="20">
        <v>60353</v>
      </c>
      <c r="E1564" s="17">
        <v>49569</v>
      </c>
      <c r="F1564" s="18">
        <f t="shared" si="524"/>
        <v>0.82131791294550394</v>
      </c>
    </row>
    <row r="1565" spans="1:6" ht="15" customHeight="1" x14ac:dyDescent="0.25">
      <c r="A1565" s="15">
        <v>2</v>
      </c>
      <c r="B1565" s="15" t="s">
        <v>970</v>
      </c>
      <c r="C1565" s="20">
        <v>50</v>
      </c>
      <c r="D1565" s="20">
        <v>34171</v>
      </c>
      <c r="E1565" s="17">
        <v>29595</v>
      </c>
      <c r="F1565" s="18">
        <f t="shared" si="524"/>
        <v>0.86608527698925986</v>
      </c>
    </row>
    <row r="1566" spans="1:6" ht="15" customHeight="1" x14ac:dyDescent="0.25">
      <c r="A1566" s="15">
        <v>3</v>
      </c>
      <c r="B1566" s="15" t="s">
        <v>971</v>
      </c>
      <c r="C1566" s="20">
        <v>41</v>
      </c>
      <c r="D1566" s="20">
        <v>28194</v>
      </c>
      <c r="E1566" s="17">
        <v>23965</v>
      </c>
      <c r="F1566" s="18">
        <f t="shared" si="524"/>
        <v>0.85000354685394053</v>
      </c>
    </row>
    <row r="1567" spans="1:6" ht="15" customHeight="1" x14ac:dyDescent="0.25">
      <c r="A1567" s="15">
        <v>4</v>
      </c>
      <c r="B1567" s="15" t="s">
        <v>972</v>
      </c>
      <c r="C1567" s="20">
        <v>44</v>
      </c>
      <c r="D1567" s="20">
        <v>28873</v>
      </c>
      <c r="E1567" s="17">
        <v>23900</v>
      </c>
      <c r="F1567" s="18">
        <f t="shared" si="524"/>
        <v>0.82776296193675758</v>
      </c>
    </row>
    <row r="1568" spans="1:6" ht="15" customHeight="1" x14ac:dyDescent="0.25">
      <c r="A1568" s="15">
        <v>5</v>
      </c>
      <c r="B1568" s="15" t="s">
        <v>973</v>
      </c>
      <c r="C1568" s="20">
        <v>41</v>
      </c>
      <c r="D1568" s="20">
        <v>25960</v>
      </c>
      <c r="E1568" s="17">
        <v>21551</v>
      </c>
      <c r="F1568" s="18">
        <f t="shared" si="524"/>
        <v>0.83016178736517721</v>
      </c>
    </row>
    <row r="1569" spans="1:6" ht="15" customHeight="1" x14ac:dyDescent="0.25">
      <c r="A1569" s="15">
        <v>6</v>
      </c>
      <c r="B1569" s="15" t="s">
        <v>974</v>
      </c>
      <c r="C1569" s="20">
        <v>49</v>
      </c>
      <c r="D1569" s="20">
        <v>37145</v>
      </c>
      <c r="E1569" s="17">
        <v>31833</v>
      </c>
      <c r="F1569" s="18">
        <f t="shared" si="524"/>
        <v>0.85699286579620404</v>
      </c>
    </row>
    <row r="1570" spans="1:6" ht="15.75" customHeight="1" x14ac:dyDescent="0.25">
      <c r="A1570" s="35">
        <v>7</v>
      </c>
      <c r="B1570" s="35" t="s">
        <v>1269</v>
      </c>
      <c r="C1570" s="36">
        <v>46</v>
      </c>
      <c r="D1570" s="36">
        <v>34367</v>
      </c>
      <c r="E1570" s="37">
        <v>26104</v>
      </c>
      <c r="F1570" s="38">
        <f t="shared" si="524"/>
        <v>0.75956586260075076</v>
      </c>
    </row>
    <row r="1571" spans="1:6" ht="23.1" customHeight="1" x14ac:dyDescent="0.25">
      <c r="A1571" s="22"/>
      <c r="B1571" s="22" t="s">
        <v>1227</v>
      </c>
      <c r="C1571" s="21">
        <f>C1572+C1581</f>
        <v>663</v>
      </c>
      <c r="D1571" s="21">
        <f>D1572+D1581</f>
        <v>464393</v>
      </c>
      <c r="E1571" s="68">
        <f>E1572+E1581</f>
        <v>395604</v>
      </c>
      <c r="F1571" s="39">
        <f t="shared" si="524"/>
        <v>0.85187330558384822</v>
      </c>
    </row>
    <row r="1572" spans="1:6" ht="23.1" customHeight="1" x14ac:dyDescent="0.25">
      <c r="A1572" s="22"/>
      <c r="B1572" s="22" t="s">
        <v>6</v>
      </c>
      <c r="C1572" s="21">
        <f>SUM(C1573:C1580)</f>
        <v>365</v>
      </c>
      <c r="D1572" s="21">
        <f>SUM(D1573:D1580)</f>
        <v>262367</v>
      </c>
      <c r="E1572" s="68">
        <f>SUM(E1573:E1580)</f>
        <v>223061</v>
      </c>
      <c r="F1572" s="39">
        <f t="shared" si="524"/>
        <v>0.85018695186513549</v>
      </c>
    </row>
    <row r="1573" spans="1:6" ht="15.75" customHeight="1" x14ac:dyDescent="0.25">
      <c r="A1573" s="15">
        <v>1</v>
      </c>
      <c r="B1573" s="15" t="s">
        <v>1528</v>
      </c>
      <c r="C1573" s="16">
        <v>8</v>
      </c>
      <c r="D1573" s="16">
        <v>5083</v>
      </c>
      <c r="E1573" s="40">
        <v>4902</v>
      </c>
      <c r="F1573" s="38">
        <f t="shared" si="524"/>
        <v>0.96439110761361402</v>
      </c>
    </row>
    <row r="1574" spans="1:6" ht="15.75" customHeight="1" x14ac:dyDescent="0.25">
      <c r="A1574" s="15">
        <v>2</v>
      </c>
      <c r="B1574" s="15" t="s">
        <v>1228</v>
      </c>
      <c r="C1574" s="16">
        <v>50</v>
      </c>
      <c r="D1574" s="16">
        <v>32735</v>
      </c>
      <c r="E1574" s="40">
        <v>28804</v>
      </c>
      <c r="F1574" s="38">
        <f t="shared" si="524"/>
        <v>0.87991446464029321</v>
      </c>
    </row>
    <row r="1575" spans="1:6" ht="15.75" customHeight="1" x14ac:dyDescent="0.25">
      <c r="A1575" s="15">
        <v>3</v>
      </c>
      <c r="B1575" s="15" t="s">
        <v>1529</v>
      </c>
      <c r="C1575" s="16">
        <v>59</v>
      </c>
      <c r="D1575" s="16">
        <v>48365</v>
      </c>
      <c r="E1575" s="40">
        <v>43521</v>
      </c>
      <c r="F1575" s="38">
        <f t="shared" si="524"/>
        <v>0.89984492918432746</v>
      </c>
    </row>
    <row r="1576" spans="1:6" ht="15.75" customHeight="1" x14ac:dyDescent="0.25">
      <c r="A1576" s="15">
        <v>4</v>
      </c>
      <c r="B1576" s="15" t="s">
        <v>1229</v>
      </c>
      <c r="C1576" s="16">
        <v>52</v>
      </c>
      <c r="D1576" s="16">
        <v>37468</v>
      </c>
      <c r="E1576" s="40">
        <v>37096</v>
      </c>
      <c r="F1576" s="38">
        <f t="shared" si="524"/>
        <v>0.99007152770364049</v>
      </c>
    </row>
    <row r="1577" spans="1:6" ht="15.75" customHeight="1" x14ac:dyDescent="0.25">
      <c r="A1577" s="15">
        <v>5</v>
      </c>
      <c r="B1577" s="15" t="s">
        <v>1230</v>
      </c>
      <c r="C1577" s="16">
        <v>26</v>
      </c>
      <c r="D1577" s="16">
        <v>19150</v>
      </c>
      <c r="E1577" s="40">
        <v>13849</v>
      </c>
      <c r="F1577" s="38">
        <f t="shared" si="524"/>
        <v>0.72318537859007836</v>
      </c>
    </row>
    <row r="1578" spans="1:6" ht="15.75" customHeight="1" x14ac:dyDescent="0.25">
      <c r="A1578" s="15">
        <v>6</v>
      </c>
      <c r="B1578" s="15" t="s">
        <v>1207</v>
      </c>
      <c r="C1578" s="16">
        <v>56</v>
      </c>
      <c r="D1578" s="16">
        <v>41062</v>
      </c>
      <c r="E1578" s="40">
        <v>31415</v>
      </c>
      <c r="F1578" s="38">
        <f t="shared" si="524"/>
        <v>0.76506258828113582</v>
      </c>
    </row>
    <row r="1579" spans="1:6" ht="15.75" customHeight="1" x14ac:dyDescent="0.25">
      <c r="A1579" s="15">
        <v>7</v>
      </c>
      <c r="B1579" s="15" t="s">
        <v>1231</v>
      </c>
      <c r="C1579" s="16">
        <v>59</v>
      </c>
      <c r="D1579" s="16">
        <v>45483</v>
      </c>
      <c r="E1579" s="40">
        <v>42573</v>
      </c>
      <c r="F1579" s="38">
        <f t="shared" si="524"/>
        <v>0.93602005144779366</v>
      </c>
    </row>
    <row r="1580" spans="1:6" ht="15.75" customHeight="1" x14ac:dyDescent="0.25">
      <c r="A1580" s="23">
        <v>8</v>
      </c>
      <c r="B1580" s="15" t="s">
        <v>1232</v>
      </c>
      <c r="C1580" s="16">
        <v>55</v>
      </c>
      <c r="D1580" s="16">
        <v>33021</v>
      </c>
      <c r="E1580" s="40">
        <v>20901</v>
      </c>
      <c r="F1580" s="38">
        <f t="shared" si="524"/>
        <v>0.63296084309984557</v>
      </c>
    </row>
    <row r="1581" spans="1:6" ht="23.1" customHeight="1" x14ac:dyDescent="0.25">
      <c r="A1581" s="22"/>
      <c r="B1581" s="22" t="s">
        <v>7</v>
      </c>
      <c r="C1581" s="21">
        <f>SUM(C1582:C1592)</f>
        <v>298</v>
      </c>
      <c r="D1581" s="21">
        <f>SUM(D1582:D1592)</f>
        <v>202026</v>
      </c>
      <c r="E1581" s="68">
        <f>SUM(E1582:E1592)</f>
        <v>172543</v>
      </c>
      <c r="F1581" s="39">
        <f t="shared" si="524"/>
        <v>0.8540633383821884</v>
      </c>
    </row>
    <row r="1582" spans="1:6" ht="15.75" customHeight="1" x14ac:dyDescent="0.25">
      <c r="A1582" s="15">
        <v>1</v>
      </c>
      <c r="B1582" s="15" t="s">
        <v>1233</v>
      </c>
      <c r="C1582" s="16">
        <v>20</v>
      </c>
      <c r="D1582" s="16">
        <v>15918</v>
      </c>
      <c r="E1582" s="40">
        <v>15096</v>
      </c>
      <c r="F1582" s="38">
        <f t="shared" si="524"/>
        <v>0.94836034677723335</v>
      </c>
    </row>
    <row r="1583" spans="1:6" ht="15.75" customHeight="1" x14ac:dyDescent="0.25">
      <c r="A1583" s="15">
        <v>2</v>
      </c>
      <c r="B1583" s="15" t="s">
        <v>1234</v>
      </c>
      <c r="C1583" s="16">
        <v>27</v>
      </c>
      <c r="D1583" s="16">
        <v>19470</v>
      </c>
      <c r="E1583" s="40">
        <v>18999</v>
      </c>
      <c r="F1583" s="38">
        <f t="shared" si="524"/>
        <v>0.97580893682588599</v>
      </c>
    </row>
    <row r="1584" spans="1:6" ht="15.75" customHeight="1" x14ac:dyDescent="0.25">
      <c r="A1584" s="15">
        <v>3</v>
      </c>
      <c r="B1584" s="15" t="s">
        <v>1235</v>
      </c>
      <c r="C1584" s="16">
        <v>35</v>
      </c>
      <c r="D1584" s="16">
        <v>28547</v>
      </c>
      <c r="E1584" s="40">
        <v>28185</v>
      </c>
      <c r="F1584" s="38">
        <f t="shared" si="524"/>
        <v>0.98731915787998736</v>
      </c>
    </row>
    <row r="1585" spans="1:6" ht="15.75" customHeight="1" x14ac:dyDescent="0.25">
      <c r="A1585" s="15">
        <v>4</v>
      </c>
      <c r="B1585" s="15" t="s">
        <v>1236</v>
      </c>
      <c r="C1585" s="16">
        <v>38</v>
      </c>
      <c r="D1585" s="16">
        <v>23701</v>
      </c>
      <c r="E1585" s="40">
        <v>15339</v>
      </c>
      <c r="F1585" s="38">
        <f t="shared" si="524"/>
        <v>0.64718788236783253</v>
      </c>
    </row>
    <row r="1586" spans="1:6" ht="15.75" customHeight="1" x14ac:dyDescent="0.25">
      <c r="A1586" s="15">
        <v>5</v>
      </c>
      <c r="B1586" s="15" t="s">
        <v>1237</v>
      </c>
      <c r="C1586" s="16">
        <v>23</v>
      </c>
      <c r="D1586" s="16">
        <v>19162</v>
      </c>
      <c r="E1586" s="40">
        <v>12323</v>
      </c>
      <c r="F1586" s="38">
        <f t="shared" si="524"/>
        <v>0.64309571025988932</v>
      </c>
    </row>
    <row r="1587" spans="1:6" ht="15.75" customHeight="1" x14ac:dyDescent="0.25">
      <c r="A1587" s="23">
        <v>6</v>
      </c>
      <c r="B1587" s="15" t="s">
        <v>1238</v>
      </c>
      <c r="C1587" s="16">
        <v>23</v>
      </c>
      <c r="D1587" s="16">
        <v>15386</v>
      </c>
      <c r="E1587" s="40">
        <v>14514</v>
      </c>
      <c r="F1587" s="38">
        <f t="shared" si="524"/>
        <v>0.94332510074093334</v>
      </c>
    </row>
    <row r="1588" spans="1:6" ht="15.75" customHeight="1" x14ac:dyDescent="0.25">
      <c r="A1588" s="15">
        <v>7</v>
      </c>
      <c r="B1588" s="15" t="s">
        <v>1530</v>
      </c>
      <c r="C1588" s="16">
        <v>17</v>
      </c>
      <c r="D1588" s="16">
        <v>9979</v>
      </c>
      <c r="E1588" s="40">
        <v>9698</v>
      </c>
      <c r="F1588" s="38">
        <f t="shared" si="524"/>
        <v>0.97184086581821827</v>
      </c>
    </row>
    <row r="1589" spans="1:6" ht="18" customHeight="1" x14ac:dyDescent="0.25">
      <c r="A1589" s="15">
        <v>8</v>
      </c>
      <c r="B1589" s="15" t="s">
        <v>1239</v>
      </c>
      <c r="C1589" s="16">
        <v>15</v>
      </c>
      <c r="D1589" s="16">
        <v>8067</v>
      </c>
      <c r="E1589" s="40">
        <v>7287</v>
      </c>
      <c r="F1589" s="38">
        <f t="shared" si="524"/>
        <v>0.90330978058757905</v>
      </c>
    </row>
    <row r="1590" spans="1:6" ht="18" customHeight="1" x14ac:dyDescent="0.25">
      <c r="A1590" s="15">
        <v>9</v>
      </c>
      <c r="B1590" s="15" t="s">
        <v>1240</v>
      </c>
      <c r="C1590" s="16">
        <v>58</v>
      </c>
      <c r="D1590" s="16">
        <v>33415</v>
      </c>
      <c r="E1590" s="40">
        <v>32304</v>
      </c>
      <c r="F1590" s="38">
        <f t="shared" si="524"/>
        <v>0.96675145892563219</v>
      </c>
    </row>
    <row r="1591" spans="1:6" ht="18" customHeight="1" x14ac:dyDescent="0.25">
      <c r="A1591" s="15">
        <v>10</v>
      </c>
      <c r="B1591" s="15" t="s">
        <v>1241</v>
      </c>
      <c r="C1591" s="16">
        <v>23</v>
      </c>
      <c r="D1591" s="16">
        <v>15614</v>
      </c>
      <c r="E1591" s="40">
        <v>12082</v>
      </c>
      <c r="F1591" s="38">
        <f t="shared" si="524"/>
        <v>0.77379275009606763</v>
      </c>
    </row>
    <row r="1592" spans="1:6" ht="18" customHeight="1" x14ac:dyDescent="0.25">
      <c r="A1592" s="15">
        <v>11</v>
      </c>
      <c r="B1592" s="15" t="s">
        <v>1242</v>
      </c>
      <c r="C1592" s="16">
        <v>19</v>
      </c>
      <c r="D1592" s="16">
        <v>12767</v>
      </c>
      <c r="E1592" s="40">
        <v>6716</v>
      </c>
      <c r="F1592" s="38">
        <f t="shared" si="524"/>
        <v>0.52604370643064147</v>
      </c>
    </row>
    <row r="1593" spans="1:6" ht="23.1" customHeight="1" x14ac:dyDescent="0.25">
      <c r="A1593" s="140" t="s">
        <v>975</v>
      </c>
      <c r="B1593" s="140"/>
      <c r="C1593" s="14">
        <f t="shared" ref="C1593" si="531">SUM(C1594+C1621+C1630+C1657+C1677)</f>
        <v>4444</v>
      </c>
      <c r="D1593" s="14">
        <f t="shared" ref="D1593:E1593" si="532">SUM(D1594+D1621+D1630+D1657+D1677)</f>
        <v>3179252</v>
      </c>
      <c r="E1593" s="14">
        <f t="shared" si="532"/>
        <v>2731299</v>
      </c>
      <c r="F1593" s="13">
        <f t="shared" si="524"/>
        <v>0.85910113448068914</v>
      </c>
    </row>
    <row r="1594" spans="1:6" ht="23.1" customHeight="1" x14ac:dyDescent="0.25">
      <c r="A1594" s="22"/>
      <c r="B1594" s="22" t="s">
        <v>976</v>
      </c>
      <c r="C1594" s="14">
        <f t="shared" ref="C1594" si="533">SUM(C1595+C1602+C1608+C1617)</f>
        <v>1349</v>
      </c>
      <c r="D1594" s="14">
        <f t="shared" ref="D1594:E1594" si="534">SUM(D1595+D1602+D1608+D1617)</f>
        <v>995736</v>
      </c>
      <c r="E1594" s="14">
        <f t="shared" si="534"/>
        <v>861732</v>
      </c>
      <c r="F1594" s="13">
        <f t="shared" si="524"/>
        <v>0.86542216009062645</v>
      </c>
    </row>
    <row r="1595" spans="1:6" ht="23.1" customHeight="1" x14ac:dyDescent="0.25">
      <c r="A1595" s="22"/>
      <c r="B1595" s="22" t="s">
        <v>6</v>
      </c>
      <c r="C1595" s="14">
        <f t="shared" ref="C1595" si="535">SUM(C1596:C1601)</f>
        <v>316</v>
      </c>
      <c r="D1595" s="14">
        <f t="shared" ref="D1595:E1595" si="536">SUM(D1596:D1601)</f>
        <v>217275</v>
      </c>
      <c r="E1595" s="14">
        <f t="shared" si="536"/>
        <v>195955</v>
      </c>
      <c r="F1595" s="13">
        <f t="shared" si="524"/>
        <v>0.90187550339431599</v>
      </c>
    </row>
    <row r="1596" spans="1:6" ht="15" customHeight="1" x14ac:dyDescent="0.25">
      <c r="A1596" s="15">
        <v>1</v>
      </c>
      <c r="B1596" s="15" t="s">
        <v>977</v>
      </c>
      <c r="C1596" s="20">
        <v>35</v>
      </c>
      <c r="D1596" s="20">
        <v>28419</v>
      </c>
      <c r="E1596" s="17">
        <v>25367</v>
      </c>
      <c r="F1596" s="18">
        <f t="shared" si="524"/>
        <v>0.8926070586579401</v>
      </c>
    </row>
    <row r="1597" spans="1:6" ht="15" customHeight="1" x14ac:dyDescent="0.25">
      <c r="A1597" s="15">
        <v>2</v>
      </c>
      <c r="B1597" s="15" t="s">
        <v>978</v>
      </c>
      <c r="C1597" s="20">
        <v>49</v>
      </c>
      <c r="D1597" s="20">
        <v>31137</v>
      </c>
      <c r="E1597" s="17">
        <v>28456</v>
      </c>
      <c r="F1597" s="18">
        <f t="shared" si="524"/>
        <v>0.91389665028743938</v>
      </c>
    </row>
    <row r="1598" spans="1:6" ht="15" customHeight="1" x14ac:dyDescent="0.25">
      <c r="A1598" s="15">
        <v>3</v>
      </c>
      <c r="B1598" s="15" t="s">
        <v>911</v>
      </c>
      <c r="C1598" s="20">
        <v>33</v>
      </c>
      <c r="D1598" s="20">
        <v>20887</v>
      </c>
      <c r="E1598" s="17">
        <v>19111</v>
      </c>
      <c r="F1598" s="18">
        <f t="shared" si="524"/>
        <v>0.9149710346148322</v>
      </c>
    </row>
    <row r="1599" spans="1:6" ht="15" customHeight="1" x14ac:dyDescent="0.25">
      <c r="A1599" s="15">
        <v>4</v>
      </c>
      <c r="B1599" s="15" t="s">
        <v>979</v>
      </c>
      <c r="C1599" s="20">
        <v>100</v>
      </c>
      <c r="D1599" s="20">
        <v>67460</v>
      </c>
      <c r="E1599" s="17">
        <v>60066</v>
      </c>
      <c r="F1599" s="18">
        <f t="shared" si="524"/>
        <v>0.89039430773791872</v>
      </c>
    </row>
    <row r="1600" spans="1:6" ht="15" customHeight="1" x14ac:dyDescent="0.25">
      <c r="A1600" s="15">
        <v>5</v>
      </c>
      <c r="B1600" s="15" t="s">
        <v>980</v>
      </c>
      <c r="C1600" s="20">
        <v>27</v>
      </c>
      <c r="D1600" s="20">
        <v>19294</v>
      </c>
      <c r="E1600" s="17">
        <v>17794</v>
      </c>
      <c r="F1600" s="18">
        <f t="shared" si="524"/>
        <v>0.92225562350989942</v>
      </c>
    </row>
    <row r="1601" spans="1:6" ht="15" customHeight="1" x14ac:dyDescent="0.25">
      <c r="A1601" s="15">
        <v>6</v>
      </c>
      <c r="B1601" s="15" t="s">
        <v>981</v>
      </c>
      <c r="C1601" s="20">
        <v>72</v>
      </c>
      <c r="D1601" s="20">
        <v>50078</v>
      </c>
      <c r="E1601" s="17">
        <v>45161</v>
      </c>
      <c r="F1601" s="18">
        <f t="shared" si="524"/>
        <v>0.90181317145253403</v>
      </c>
    </row>
    <row r="1602" spans="1:6" ht="23.1" customHeight="1" x14ac:dyDescent="0.25">
      <c r="A1602" s="22"/>
      <c r="B1602" s="22" t="s">
        <v>7</v>
      </c>
      <c r="C1602" s="14">
        <f t="shared" ref="C1602" si="537">SUM(C1603:C1607)</f>
        <v>350</v>
      </c>
      <c r="D1602" s="14">
        <f t="shared" ref="D1602:E1602" si="538">SUM(D1603:D1607)</f>
        <v>267163</v>
      </c>
      <c r="E1602" s="14">
        <f t="shared" si="538"/>
        <v>227102</v>
      </c>
      <c r="F1602" s="13">
        <f t="shared" si="524"/>
        <v>0.85005034379760669</v>
      </c>
    </row>
    <row r="1603" spans="1:6" ht="15" customHeight="1" x14ac:dyDescent="0.25">
      <c r="A1603" s="15">
        <v>1</v>
      </c>
      <c r="B1603" s="15" t="s">
        <v>982</v>
      </c>
      <c r="C1603" s="20">
        <v>36</v>
      </c>
      <c r="D1603" s="20">
        <v>24225</v>
      </c>
      <c r="E1603" s="17">
        <v>21028</v>
      </c>
      <c r="F1603" s="18">
        <f t="shared" ref="F1603:F1623" si="539">SUM(E1603/D1603)</f>
        <v>0.8680288957688338</v>
      </c>
    </row>
    <row r="1604" spans="1:6" ht="15" customHeight="1" x14ac:dyDescent="0.25">
      <c r="A1604" s="15">
        <v>2</v>
      </c>
      <c r="B1604" s="15" t="s">
        <v>983</v>
      </c>
      <c r="C1604" s="20">
        <v>51</v>
      </c>
      <c r="D1604" s="20">
        <v>36202</v>
      </c>
      <c r="E1604" s="17">
        <v>32372</v>
      </c>
      <c r="F1604" s="18">
        <f t="shared" si="539"/>
        <v>0.89420474006960937</v>
      </c>
    </row>
    <row r="1605" spans="1:6" ht="15" customHeight="1" x14ac:dyDescent="0.25">
      <c r="A1605" s="15">
        <v>3</v>
      </c>
      <c r="B1605" s="15" t="s">
        <v>984</v>
      </c>
      <c r="C1605" s="20">
        <v>50</v>
      </c>
      <c r="D1605" s="20">
        <v>41692</v>
      </c>
      <c r="E1605" s="17">
        <v>35669</v>
      </c>
      <c r="F1605" s="18">
        <f t="shared" si="539"/>
        <v>0.85553583421279866</v>
      </c>
    </row>
    <row r="1606" spans="1:6" ht="15" customHeight="1" x14ac:dyDescent="0.25">
      <c r="A1606" s="15">
        <v>4</v>
      </c>
      <c r="B1606" s="15" t="s">
        <v>537</v>
      </c>
      <c r="C1606" s="20">
        <v>56</v>
      </c>
      <c r="D1606" s="20">
        <v>40231</v>
      </c>
      <c r="E1606" s="17">
        <v>35234</v>
      </c>
      <c r="F1606" s="18">
        <f t="shared" si="539"/>
        <v>0.87579229947055748</v>
      </c>
    </row>
    <row r="1607" spans="1:6" ht="15" customHeight="1" x14ac:dyDescent="0.25">
      <c r="A1607" s="15"/>
      <c r="B1607" s="24" t="s">
        <v>1471</v>
      </c>
      <c r="C1607" s="20">
        <v>157</v>
      </c>
      <c r="D1607" s="20">
        <v>124813</v>
      </c>
      <c r="E1607" s="17">
        <v>102799</v>
      </c>
      <c r="F1607" s="18">
        <f t="shared" si="539"/>
        <v>0.82362414171600717</v>
      </c>
    </row>
    <row r="1608" spans="1:6" ht="23.1" customHeight="1" x14ac:dyDescent="0.25">
      <c r="A1608" s="22"/>
      <c r="B1608" s="22" t="s">
        <v>8</v>
      </c>
      <c r="C1608" s="14">
        <f t="shared" ref="C1608" si="540">SUM(C1609:C1616)</f>
        <v>429</v>
      </c>
      <c r="D1608" s="14">
        <f t="shared" ref="D1608:E1608" si="541">SUM(D1609:D1616)</f>
        <v>311057</v>
      </c>
      <c r="E1608" s="14">
        <f t="shared" si="541"/>
        <v>265176</v>
      </c>
      <c r="F1608" s="13">
        <f t="shared" si="539"/>
        <v>0.85249970262684971</v>
      </c>
    </row>
    <row r="1609" spans="1:6" ht="15" customHeight="1" x14ac:dyDescent="0.25">
      <c r="A1609" s="15">
        <v>1</v>
      </c>
      <c r="B1609" s="15" t="s">
        <v>985</v>
      </c>
      <c r="C1609" s="20">
        <v>29</v>
      </c>
      <c r="D1609" s="20">
        <v>21655</v>
      </c>
      <c r="E1609" s="17">
        <v>17563</v>
      </c>
      <c r="F1609" s="18">
        <f t="shared" si="539"/>
        <v>0.81103671207573313</v>
      </c>
    </row>
    <row r="1610" spans="1:6" ht="15" customHeight="1" x14ac:dyDescent="0.25">
      <c r="A1610" s="15">
        <v>2</v>
      </c>
      <c r="B1610" s="15" t="s">
        <v>986</v>
      </c>
      <c r="C1610" s="20">
        <v>25</v>
      </c>
      <c r="D1610" s="20">
        <v>18916</v>
      </c>
      <c r="E1610" s="17">
        <v>16562</v>
      </c>
      <c r="F1610" s="18">
        <f t="shared" si="539"/>
        <v>0.87555508564178475</v>
      </c>
    </row>
    <row r="1611" spans="1:6" ht="15" customHeight="1" x14ac:dyDescent="0.25">
      <c r="A1611" s="15">
        <v>3</v>
      </c>
      <c r="B1611" s="15" t="s">
        <v>987</v>
      </c>
      <c r="C1611" s="20">
        <v>62</v>
      </c>
      <c r="D1611" s="20">
        <v>46120</v>
      </c>
      <c r="E1611" s="17">
        <v>40448</v>
      </c>
      <c r="F1611" s="18">
        <f t="shared" si="539"/>
        <v>0.87701647875108413</v>
      </c>
    </row>
    <row r="1612" spans="1:6" ht="15" customHeight="1" x14ac:dyDescent="0.25">
      <c r="A1612" s="15">
        <v>4</v>
      </c>
      <c r="B1612" s="15" t="s">
        <v>988</v>
      </c>
      <c r="C1612" s="20">
        <v>36</v>
      </c>
      <c r="D1612" s="20">
        <v>26688</v>
      </c>
      <c r="E1612" s="17">
        <v>22145</v>
      </c>
      <c r="F1612" s="18">
        <f t="shared" si="539"/>
        <v>0.82977368105515592</v>
      </c>
    </row>
    <row r="1613" spans="1:6" ht="15" customHeight="1" x14ac:dyDescent="0.25">
      <c r="A1613" s="15">
        <v>5</v>
      </c>
      <c r="B1613" s="15" t="s">
        <v>989</v>
      </c>
      <c r="C1613" s="20">
        <v>42</v>
      </c>
      <c r="D1613" s="20">
        <v>28321</v>
      </c>
      <c r="E1613" s="17">
        <v>25218</v>
      </c>
      <c r="F1613" s="18">
        <f t="shared" si="539"/>
        <v>0.89043465979308645</v>
      </c>
    </row>
    <row r="1614" spans="1:6" ht="15" customHeight="1" x14ac:dyDescent="0.25">
      <c r="A1614" s="15">
        <v>6</v>
      </c>
      <c r="B1614" s="15" t="s">
        <v>990</v>
      </c>
      <c r="C1614" s="20">
        <v>52</v>
      </c>
      <c r="D1614" s="20">
        <v>33801</v>
      </c>
      <c r="E1614" s="17">
        <v>27557</v>
      </c>
      <c r="F1614" s="18">
        <f t="shared" si="539"/>
        <v>0.81527173752255855</v>
      </c>
    </row>
    <row r="1615" spans="1:6" ht="15" customHeight="1" x14ac:dyDescent="0.25">
      <c r="A1615" s="15">
        <v>7</v>
      </c>
      <c r="B1615" s="15" t="s">
        <v>991</v>
      </c>
      <c r="C1615" s="20">
        <v>94</v>
      </c>
      <c r="D1615" s="20">
        <v>65837</v>
      </c>
      <c r="E1615" s="17">
        <v>56645</v>
      </c>
      <c r="F1615" s="18">
        <f t="shared" si="539"/>
        <v>0.86038245971110472</v>
      </c>
    </row>
    <row r="1616" spans="1:6" ht="15" customHeight="1" x14ac:dyDescent="0.25">
      <c r="A1616" s="15">
        <v>8</v>
      </c>
      <c r="B1616" s="15" t="s">
        <v>247</v>
      </c>
      <c r="C1616" s="20">
        <v>89</v>
      </c>
      <c r="D1616" s="20">
        <v>69719</v>
      </c>
      <c r="E1616" s="17">
        <v>59038</v>
      </c>
      <c r="F1616" s="18">
        <f t="shared" si="539"/>
        <v>0.84679929431001588</v>
      </c>
    </row>
    <row r="1617" spans="1:6" ht="23.1" customHeight="1" x14ac:dyDescent="0.25">
      <c r="A1617" s="22"/>
      <c r="B1617" s="22" t="s">
        <v>9</v>
      </c>
      <c r="C1617" s="14">
        <f t="shared" ref="C1617" si="542">SUM(C1618:C1620)</f>
        <v>254</v>
      </c>
      <c r="D1617" s="14">
        <f t="shared" ref="D1617:E1617" si="543">SUM(D1618:D1620)</f>
        <v>200241</v>
      </c>
      <c r="E1617" s="14">
        <f t="shared" si="543"/>
        <v>173499</v>
      </c>
      <c r="F1617" s="13">
        <f t="shared" si="539"/>
        <v>0.86645092663340673</v>
      </c>
    </row>
    <row r="1618" spans="1:6" ht="15" customHeight="1" x14ac:dyDescent="0.25">
      <c r="A1618" s="15">
        <v>1</v>
      </c>
      <c r="B1618" s="15" t="s">
        <v>992</v>
      </c>
      <c r="C1618" s="20">
        <v>41</v>
      </c>
      <c r="D1618" s="20">
        <v>27913</v>
      </c>
      <c r="E1618" s="17">
        <v>23817</v>
      </c>
      <c r="F1618" s="18">
        <f t="shared" si="539"/>
        <v>0.85325833840862686</v>
      </c>
    </row>
    <row r="1619" spans="1:6" ht="15" customHeight="1" x14ac:dyDescent="0.25">
      <c r="A1619" s="15">
        <v>2</v>
      </c>
      <c r="B1619" s="15" t="s">
        <v>993</v>
      </c>
      <c r="C1619" s="20">
        <v>55</v>
      </c>
      <c r="D1619" s="20">
        <v>38157</v>
      </c>
      <c r="E1619" s="17">
        <v>33136</v>
      </c>
      <c r="F1619" s="18">
        <f t="shared" si="539"/>
        <v>0.86841208690410676</v>
      </c>
    </row>
    <row r="1620" spans="1:6" ht="15" customHeight="1" x14ac:dyDescent="0.25">
      <c r="A1620" s="15"/>
      <c r="B1620" s="24" t="s">
        <v>1472</v>
      </c>
      <c r="C1620" s="20">
        <v>158</v>
      </c>
      <c r="D1620" s="20">
        <v>134171</v>
      </c>
      <c r="E1620" s="17">
        <v>116546</v>
      </c>
      <c r="F1620" s="18">
        <f t="shared" si="539"/>
        <v>0.86863778312750151</v>
      </c>
    </row>
    <row r="1621" spans="1:6" ht="23.1" customHeight="1" x14ac:dyDescent="0.25">
      <c r="A1621" s="22"/>
      <c r="B1621" s="22" t="s">
        <v>994</v>
      </c>
      <c r="C1621" s="14">
        <f t="shared" ref="C1621" si="544">SUM(C1623+C1626)</f>
        <v>94</v>
      </c>
      <c r="D1621" s="14">
        <f t="shared" ref="D1621:E1621" si="545">SUM(D1623+D1626)</f>
        <v>66557</v>
      </c>
      <c r="E1621" s="14">
        <f t="shared" si="545"/>
        <v>60294</v>
      </c>
      <c r="F1621" s="13">
        <f t="shared" si="539"/>
        <v>0.90590020583860453</v>
      </c>
    </row>
    <row r="1622" spans="1:6" ht="23.1" customHeight="1" x14ac:dyDescent="0.25">
      <c r="A1622" s="22"/>
      <c r="B1622" s="22" t="s">
        <v>22</v>
      </c>
      <c r="C1622" s="14"/>
      <c r="D1622" s="14"/>
      <c r="E1622" s="14"/>
      <c r="F1622" s="18"/>
    </row>
    <row r="1623" spans="1:6" ht="23.1" customHeight="1" x14ac:dyDescent="0.25">
      <c r="A1623" s="22"/>
      <c r="B1623" s="22" t="s">
        <v>23</v>
      </c>
      <c r="C1623" s="14">
        <f t="shared" ref="C1623" si="546">SUM(C1624:C1625)</f>
        <v>52</v>
      </c>
      <c r="D1623" s="14">
        <f t="shared" ref="D1623:E1623" si="547">SUM(D1624:D1625)</f>
        <v>38832</v>
      </c>
      <c r="E1623" s="14">
        <f t="shared" si="547"/>
        <v>35453</v>
      </c>
      <c r="F1623" s="13">
        <f t="shared" si="539"/>
        <v>0.91298413679439638</v>
      </c>
    </row>
    <row r="1624" spans="1:6" ht="15" customHeight="1" x14ac:dyDescent="0.25">
      <c r="A1624" s="15">
        <v>1</v>
      </c>
      <c r="B1624" s="15" t="s">
        <v>995</v>
      </c>
      <c r="C1624" s="20">
        <v>16</v>
      </c>
      <c r="D1624" s="20">
        <v>10919</v>
      </c>
      <c r="E1624" s="17">
        <v>9720</v>
      </c>
      <c r="F1624" s="18">
        <f t="shared" ref="F1624:F1654" si="548">SUM(E1624/D1624)</f>
        <v>0.89019140946973163</v>
      </c>
    </row>
    <row r="1625" spans="1:6" ht="15" customHeight="1" x14ac:dyDescent="0.25">
      <c r="A1625" s="15">
        <v>2</v>
      </c>
      <c r="B1625" s="15" t="s">
        <v>1473</v>
      </c>
      <c r="C1625" s="20">
        <v>36</v>
      </c>
      <c r="D1625" s="20">
        <v>27913</v>
      </c>
      <c r="E1625" s="17">
        <v>25733</v>
      </c>
      <c r="F1625" s="18">
        <f t="shared" si="548"/>
        <v>0.92190018987568512</v>
      </c>
    </row>
    <row r="1626" spans="1:6" ht="23.1" customHeight="1" x14ac:dyDescent="0.25">
      <c r="A1626" s="22"/>
      <c r="B1626" s="22" t="s">
        <v>39</v>
      </c>
      <c r="C1626" s="14">
        <f t="shared" ref="C1626" si="549">SUM(C1627:C1629)</f>
        <v>42</v>
      </c>
      <c r="D1626" s="14">
        <f t="shared" ref="D1626:E1626" si="550">SUM(D1627:D1629)</f>
        <v>27725</v>
      </c>
      <c r="E1626" s="14">
        <f t="shared" si="550"/>
        <v>24841</v>
      </c>
      <c r="F1626" s="13">
        <f t="shared" si="548"/>
        <v>0.8959783588818756</v>
      </c>
    </row>
    <row r="1627" spans="1:6" ht="15" customHeight="1" x14ac:dyDescent="0.25">
      <c r="A1627" s="15">
        <v>1</v>
      </c>
      <c r="B1627" s="15" t="s">
        <v>996</v>
      </c>
      <c r="C1627" s="20">
        <v>18</v>
      </c>
      <c r="D1627" s="20">
        <v>13066</v>
      </c>
      <c r="E1627" s="17">
        <v>11731</v>
      </c>
      <c r="F1627" s="18">
        <f t="shared" si="548"/>
        <v>0.89782641971529165</v>
      </c>
    </row>
    <row r="1628" spans="1:6" ht="15" customHeight="1" x14ac:dyDescent="0.25">
      <c r="A1628" s="15">
        <v>2</v>
      </c>
      <c r="B1628" s="15" t="s">
        <v>997</v>
      </c>
      <c r="C1628" s="20">
        <v>10</v>
      </c>
      <c r="D1628" s="20">
        <v>5419</v>
      </c>
      <c r="E1628" s="17">
        <v>4925</v>
      </c>
      <c r="F1628" s="18">
        <f t="shared" si="548"/>
        <v>0.90883926923786673</v>
      </c>
    </row>
    <row r="1629" spans="1:6" ht="15" customHeight="1" x14ac:dyDescent="0.25">
      <c r="A1629" s="15">
        <v>3</v>
      </c>
      <c r="B1629" s="15" t="s">
        <v>998</v>
      </c>
      <c r="C1629" s="20">
        <v>14</v>
      </c>
      <c r="D1629" s="20">
        <v>9240</v>
      </c>
      <c r="E1629" s="17">
        <v>8185</v>
      </c>
      <c r="F1629" s="18">
        <f t="shared" si="548"/>
        <v>0.88582251082251084</v>
      </c>
    </row>
    <row r="1630" spans="1:6" ht="23.1" customHeight="1" x14ac:dyDescent="0.25">
      <c r="A1630" s="22"/>
      <c r="B1630" s="22" t="s">
        <v>999</v>
      </c>
      <c r="C1630" s="14">
        <f t="shared" ref="C1630" si="551">SUM(C1631+C1643+C1656)</f>
        <v>856</v>
      </c>
      <c r="D1630" s="14">
        <f t="shared" ref="D1630:E1630" si="552">SUM(D1631+D1643+D1656)</f>
        <v>573261</v>
      </c>
      <c r="E1630" s="14">
        <f t="shared" si="552"/>
        <v>485351</v>
      </c>
      <c r="F1630" s="13">
        <f t="shared" si="548"/>
        <v>0.84664925749353259</v>
      </c>
    </row>
    <row r="1631" spans="1:6" ht="23.1" customHeight="1" x14ac:dyDescent="0.25">
      <c r="A1631" s="22"/>
      <c r="B1631" s="22" t="s">
        <v>6</v>
      </c>
      <c r="C1631" s="14">
        <f t="shared" ref="C1631" si="553">SUM(C1632:C1642)</f>
        <v>271</v>
      </c>
      <c r="D1631" s="14">
        <f t="shared" ref="D1631:E1631" si="554">SUM(D1632:D1642)</f>
        <v>177487</v>
      </c>
      <c r="E1631" s="14">
        <f t="shared" si="554"/>
        <v>145543</v>
      </c>
      <c r="F1631" s="13">
        <f t="shared" si="548"/>
        <v>0.82002062122859698</v>
      </c>
    </row>
    <row r="1632" spans="1:6" ht="15" customHeight="1" x14ac:dyDescent="0.25">
      <c r="A1632" s="15">
        <v>1</v>
      </c>
      <c r="B1632" s="15" t="s">
        <v>1000</v>
      </c>
      <c r="C1632" s="20">
        <v>25</v>
      </c>
      <c r="D1632" s="20">
        <v>15531</v>
      </c>
      <c r="E1632" s="17">
        <v>12626</v>
      </c>
      <c r="F1632" s="18">
        <f t="shared" si="548"/>
        <v>0.8129547356899105</v>
      </c>
    </row>
    <row r="1633" spans="1:6" ht="15" customHeight="1" x14ac:dyDescent="0.25">
      <c r="A1633" s="15">
        <v>2</v>
      </c>
      <c r="B1633" s="15" t="s">
        <v>1001</v>
      </c>
      <c r="C1633" s="20">
        <v>32</v>
      </c>
      <c r="D1633" s="20">
        <v>21449</v>
      </c>
      <c r="E1633" s="17">
        <v>16792</v>
      </c>
      <c r="F1633" s="18">
        <f t="shared" si="548"/>
        <v>0.78288032076087466</v>
      </c>
    </row>
    <row r="1634" spans="1:6" ht="15" customHeight="1" x14ac:dyDescent="0.25">
      <c r="A1634" s="15">
        <v>3</v>
      </c>
      <c r="B1634" s="15" t="s">
        <v>1002</v>
      </c>
      <c r="C1634" s="20">
        <v>29</v>
      </c>
      <c r="D1634" s="20">
        <v>19290</v>
      </c>
      <c r="E1634" s="17">
        <v>16174</v>
      </c>
      <c r="F1634" s="18">
        <f t="shared" si="548"/>
        <v>0.83846552617936754</v>
      </c>
    </row>
    <row r="1635" spans="1:6" ht="15" customHeight="1" x14ac:dyDescent="0.25">
      <c r="A1635" s="15">
        <v>4</v>
      </c>
      <c r="B1635" s="15" t="s">
        <v>1003</v>
      </c>
      <c r="C1635" s="20">
        <v>22</v>
      </c>
      <c r="D1635" s="20">
        <v>14940</v>
      </c>
      <c r="E1635" s="17">
        <v>12851</v>
      </c>
      <c r="F1635" s="18">
        <f t="shared" si="548"/>
        <v>0.86017402945113786</v>
      </c>
    </row>
    <row r="1636" spans="1:6" ht="15" customHeight="1" x14ac:dyDescent="0.25">
      <c r="A1636" s="15">
        <v>5</v>
      </c>
      <c r="B1636" s="15" t="s">
        <v>1004</v>
      </c>
      <c r="C1636" s="20">
        <v>32</v>
      </c>
      <c r="D1636" s="20">
        <v>17466</v>
      </c>
      <c r="E1636" s="17">
        <v>14610</v>
      </c>
      <c r="F1636" s="18">
        <f t="shared" si="548"/>
        <v>0.83648230848505667</v>
      </c>
    </row>
    <row r="1637" spans="1:6" ht="15" customHeight="1" x14ac:dyDescent="0.25">
      <c r="A1637" s="15">
        <v>6</v>
      </c>
      <c r="B1637" s="15" t="s">
        <v>1005</v>
      </c>
      <c r="C1637" s="20">
        <v>17</v>
      </c>
      <c r="D1637" s="20">
        <v>12551</v>
      </c>
      <c r="E1637" s="17">
        <v>10729</v>
      </c>
      <c r="F1637" s="18">
        <f t="shared" si="548"/>
        <v>0.85483228428013702</v>
      </c>
    </row>
    <row r="1638" spans="1:6" ht="15" customHeight="1" x14ac:dyDescent="0.25">
      <c r="A1638" s="15">
        <v>7</v>
      </c>
      <c r="B1638" s="15" t="s">
        <v>1006</v>
      </c>
      <c r="C1638" s="20">
        <v>22</v>
      </c>
      <c r="D1638" s="20">
        <v>15229</v>
      </c>
      <c r="E1638" s="17">
        <v>12614</v>
      </c>
      <c r="F1638" s="18">
        <f t="shared" si="548"/>
        <v>0.82828813448026795</v>
      </c>
    </row>
    <row r="1639" spans="1:6" ht="15" customHeight="1" x14ac:dyDescent="0.25">
      <c r="A1639" s="15">
        <v>8</v>
      </c>
      <c r="B1639" s="15" t="s">
        <v>1007</v>
      </c>
      <c r="C1639" s="20">
        <v>14</v>
      </c>
      <c r="D1639" s="20">
        <v>8415</v>
      </c>
      <c r="E1639" s="17">
        <v>6642</v>
      </c>
      <c r="F1639" s="18">
        <f t="shared" si="548"/>
        <v>0.7893048128342246</v>
      </c>
    </row>
    <row r="1640" spans="1:6" ht="15" customHeight="1" x14ac:dyDescent="0.25">
      <c r="A1640" s="15">
        <v>9</v>
      </c>
      <c r="B1640" s="15" t="s">
        <v>1008</v>
      </c>
      <c r="C1640" s="20">
        <v>22</v>
      </c>
      <c r="D1640" s="20">
        <v>12401</v>
      </c>
      <c r="E1640" s="17">
        <v>9112</v>
      </c>
      <c r="F1640" s="18">
        <f t="shared" si="548"/>
        <v>0.73477945326989758</v>
      </c>
    </row>
    <row r="1641" spans="1:6" ht="15" customHeight="1" x14ac:dyDescent="0.25">
      <c r="A1641" s="15">
        <v>10</v>
      </c>
      <c r="B1641" s="15" t="s">
        <v>1009</v>
      </c>
      <c r="C1641" s="20">
        <v>12</v>
      </c>
      <c r="D1641" s="20">
        <v>8846</v>
      </c>
      <c r="E1641" s="17">
        <v>6888</v>
      </c>
      <c r="F1641" s="18">
        <f t="shared" si="548"/>
        <v>0.77865702012208904</v>
      </c>
    </row>
    <row r="1642" spans="1:6" ht="15" customHeight="1" x14ac:dyDescent="0.25">
      <c r="A1642" s="15">
        <v>11</v>
      </c>
      <c r="B1642" s="15" t="s">
        <v>1474</v>
      </c>
      <c r="C1642" s="20">
        <v>44</v>
      </c>
      <c r="D1642" s="20">
        <v>31369</v>
      </c>
      <c r="E1642" s="17">
        <v>26505</v>
      </c>
      <c r="F1642" s="18">
        <f t="shared" si="548"/>
        <v>0.84494245911568744</v>
      </c>
    </row>
    <row r="1643" spans="1:6" ht="23.1" customHeight="1" x14ac:dyDescent="0.25">
      <c r="A1643" s="22"/>
      <c r="B1643" s="22" t="s">
        <v>7</v>
      </c>
      <c r="C1643" s="14">
        <f t="shared" ref="C1643" si="555">SUM(C1644:C1654)</f>
        <v>360</v>
      </c>
      <c r="D1643" s="14">
        <f t="shared" ref="D1643:E1643" si="556">SUM(D1644:D1654)</f>
        <v>206724</v>
      </c>
      <c r="E1643" s="14">
        <f t="shared" si="556"/>
        <v>178675</v>
      </c>
      <c r="F1643" s="13">
        <f t="shared" si="548"/>
        <v>0.86431667343898144</v>
      </c>
    </row>
    <row r="1644" spans="1:6" ht="15" customHeight="1" x14ac:dyDescent="0.25">
      <c r="A1644" s="15">
        <v>1</v>
      </c>
      <c r="B1644" s="15" t="s">
        <v>1010</v>
      </c>
      <c r="C1644" s="19">
        <v>53</v>
      </c>
      <c r="D1644" s="19">
        <v>35202</v>
      </c>
      <c r="E1644" s="17">
        <v>29770</v>
      </c>
      <c r="F1644" s="18">
        <f t="shared" si="548"/>
        <v>0.8456905857621726</v>
      </c>
    </row>
    <row r="1645" spans="1:6" ht="15" customHeight="1" x14ac:dyDescent="0.25">
      <c r="A1645" s="15">
        <v>2</v>
      </c>
      <c r="B1645" s="15" t="s">
        <v>1011</v>
      </c>
      <c r="C1645" s="19">
        <v>64</v>
      </c>
      <c r="D1645" s="19">
        <v>48444</v>
      </c>
      <c r="E1645" s="17">
        <v>41440</v>
      </c>
      <c r="F1645" s="18">
        <f t="shared" si="548"/>
        <v>0.85542069193295356</v>
      </c>
    </row>
    <row r="1646" spans="1:6" ht="15" customHeight="1" x14ac:dyDescent="0.25">
      <c r="A1646" s="15">
        <v>3</v>
      </c>
      <c r="B1646" s="15" t="s">
        <v>503</v>
      </c>
      <c r="C1646" s="19">
        <v>25</v>
      </c>
      <c r="D1646" s="19">
        <v>12348</v>
      </c>
      <c r="E1646" s="17">
        <v>8205</v>
      </c>
      <c r="F1646" s="18">
        <f t="shared" si="548"/>
        <v>0.66448007774538387</v>
      </c>
    </row>
    <row r="1647" spans="1:6" ht="15" customHeight="1" x14ac:dyDescent="0.25">
      <c r="A1647" s="15">
        <v>4</v>
      </c>
      <c r="B1647" s="15" t="s">
        <v>1012</v>
      </c>
      <c r="C1647" s="19">
        <v>27</v>
      </c>
      <c r="D1647" s="19">
        <v>13423</v>
      </c>
      <c r="E1647" s="17">
        <v>10726</v>
      </c>
      <c r="F1647" s="18">
        <f t="shared" si="548"/>
        <v>0.79907621247113159</v>
      </c>
    </row>
    <row r="1648" spans="1:6" ht="15" customHeight="1" x14ac:dyDescent="0.25">
      <c r="A1648" s="15">
        <v>5</v>
      </c>
      <c r="B1648" s="15" t="s">
        <v>1013</v>
      </c>
      <c r="C1648" s="19">
        <v>25</v>
      </c>
      <c r="D1648" s="19">
        <v>9861</v>
      </c>
      <c r="E1648" s="17">
        <v>7668</v>
      </c>
      <c r="F1648" s="18">
        <f t="shared" si="548"/>
        <v>0.77760876178886518</v>
      </c>
    </row>
    <row r="1649" spans="1:6" ht="15" customHeight="1" x14ac:dyDescent="0.25">
      <c r="A1649" s="15">
        <v>6</v>
      </c>
      <c r="B1649" s="15" t="s">
        <v>1014</v>
      </c>
      <c r="C1649" s="19">
        <v>21</v>
      </c>
      <c r="D1649" s="19">
        <v>12152</v>
      </c>
      <c r="E1649" s="17">
        <v>11963</v>
      </c>
      <c r="F1649" s="18">
        <f t="shared" si="548"/>
        <v>0.98444700460829493</v>
      </c>
    </row>
    <row r="1650" spans="1:6" ht="15" customHeight="1" x14ac:dyDescent="0.25">
      <c r="A1650" s="15">
        <v>7</v>
      </c>
      <c r="B1650" s="15" t="s">
        <v>1015</v>
      </c>
      <c r="C1650" s="19">
        <v>27</v>
      </c>
      <c r="D1650" s="19">
        <v>12897</v>
      </c>
      <c r="E1650" s="17">
        <v>10834</v>
      </c>
      <c r="F1650" s="18">
        <f t="shared" si="548"/>
        <v>0.8400403194541366</v>
      </c>
    </row>
    <row r="1651" spans="1:6" ht="15" customHeight="1" x14ac:dyDescent="0.25">
      <c r="A1651" s="15">
        <v>8</v>
      </c>
      <c r="B1651" s="15" t="s">
        <v>1016</v>
      </c>
      <c r="C1651" s="19">
        <v>28</v>
      </c>
      <c r="D1651" s="19">
        <v>13363</v>
      </c>
      <c r="E1651" s="17">
        <v>12913</v>
      </c>
      <c r="F1651" s="18">
        <f t="shared" si="548"/>
        <v>0.96632492703734196</v>
      </c>
    </row>
    <row r="1652" spans="1:6" ht="15" customHeight="1" x14ac:dyDescent="0.25">
      <c r="A1652" s="15">
        <v>9</v>
      </c>
      <c r="B1652" s="15" t="s">
        <v>1017</v>
      </c>
      <c r="C1652" s="19">
        <v>20</v>
      </c>
      <c r="D1652" s="19">
        <v>11860</v>
      </c>
      <c r="E1652" s="17">
        <v>10576</v>
      </c>
      <c r="F1652" s="18">
        <f t="shared" si="548"/>
        <v>0.89173693086003369</v>
      </c>
    </row>
    <row r="1653" spans="1:6" ht="15" customHeight="1" x14ac:dyDescent="0.25">
      <c r="A1653" s="15">
        <v>10</v>
      </c>
      <c r="B1653" s="15" t="s">
        <v>1475</v>
      </c>
      <c r="C1653" s="19">
        <v>52</v>
      </c>
      <c r="D1653" s="19">
        <v>30170</v>
      </c>
      <c r="E1653" s="17">
        <v>28039</v>
      </c>
      <c r="F1653" s="18">
        <f t="shared" si="548"/>
        <v>0.92936692078223404</v>
      </c>
    </row>
    <row r="1654" spans="1:6" ht="15" customHeight="1" x14ac:dyDescent="0.25">
      <c r="A1654" s="15">
        <v>11</v>
      </c>
      <c r="B1654" s="15" t="s">
        <v>1018</v>
      </c>
      <c r="C1654" s="19">
        <v>18</v>
      </c>
      <c r="D1654" s="19">
        <v>7004</v>
      </c>
      <c r="E1654" s="17">
        <v>6541</v>
      </c>
      <c r="F1654" s="18">
        <f t="shared" si="548"/>
        <v>0.93389491719017703</v>
      </c>
    </row>
    <row r="1655" spans="1:6" ht="23.1" customHeight="1" x14ac:dyDescent="0.25">
      <c r="A1655" s="22"/>
      <c r="B1655" s="22" t="s">
        <v>22</v>
      </c>
      <c r="C1655" s="21"/>
      <c r="D1655" s="21"/>
      <c r="E1655" s="21"/>
      <c r="F1655" s="18"/>
    </row>
    <row r="1656" spans="1:6" ht="15" customHeight="1" x14ac:dyDescent="0.25">
      <c r="A1656" s="15"/>
      <c r="B1656" s="24" t="s">
        <v>1476</v>
      </c>
      <c r="C1656" s="20">
        <v>225</v>
      </c>
      <c r="D1656" s="20">
        <v>189050</v>
      </c>
      <c r="E1656" s="17">
        <v>161133</v>
      </c>
      <c r="F1656" s="18">
        <f t="shared" ref="F1656:F1687" si="557">SUM(E1656/D1656)</f>
        <v>0.85233007140967998</v>
      </c>
    </row>
    <row r="1657" spans="1:6" ht="23.1" customHeight="1" x14ac:dyDescent="0.25">
      <c r="A1657" s="22"/>
      <c r="B1657" s="22" t="s">
        <v>1019</v>
      </c>
      <c r="C1657" s="14">
        <f t="shared" ref="C1657" si="558">SUM(C1658+C1669)</f>
        <v>693</v>
      </c>
      <c r="D1657" s="14">
        <f t="shared" ref="D1657:E1657" si="559">SUM(D1658+D1669)</f>
        <v>437401</v>
      </c>
      <c r="E1657" s="14">
        <f t="shared" si="559"/>
        <v>365381</v>
      </c>
      <c r="F1657" s="13">
        <f t="shared" si="557"/>
        <v>0.83534559820393639</v>
      </c>
    </row>
    <row r="1658" spans="1:6" ht="23.1" customHeight="1" x14ac:dyDescent="0.25">
      <c r="A1658" s="22"/>
      <c r="B1658" s="22" t="s">
        <v>6</v>
      </c>
      <c r="C1658" s="14">
        <f t="shared" ref="C1658" si="560">SUM(C1659:C1668)</f>
        <v>345</v>
      </c>
      <c r="D1658" s="14">
        <f t="shared" ref="D1658:E1658" si="561">SUM(D1659:D1668)</f>
        <v>200224</v>
      </c>
      <c r="E1658" s="14">
        <f t="shared" si="561"/>
        <v>164334</v>
      </c>
      <c r="F1658" s="13">
        <f t="shared" si="557"/>
        <v>0.82075075914975226</v>
      </c>
    </row>
    <row r="1659" spans="1:6" ht="15" customHeight="1" x14ac:dyDescent="0.25">
      <c r="A1659" s="15">
        <v>1</v>
      </c>
      <c r="B1659" s="15" t="s">
        <v>1020</v>
      </c>
      <c r="C1659" s="20">
        <v>38</v>
      </c>
      <c r="D1659" s="20">
        <v>20411</v>
      </c>
      <c r="E1659" s="17">
        <v>16418</v>
      </c>
      <c r="F1659" s="18">
        <f t="shared" si="557"/>
        <v>0.8043701925432365</v>
      </c>
    </row>
    <row r="1660" spans="1:6" ht="15" customHeight="1" x14ac:dyDescent="0.25">
      <c r="A1660" s="15">
        <v>2</v>
      </c>
      <c r="B1660" s="15" t="s">
        <v>1021</v>
      </c>
      <c r="C1660" s="20">
        <v>21</v>
      </c>
      <c r="D1660" s="20">
        <v>11906</v>
      </c>
      <c r="E1660" s="17">
        <v>10024</v>
      </c>
      <c r="F1660" s="18">
        <f t="shared" si="557"/>
        <v>0.841928439442298</v>
      </c>
    </row>
    <row r="1661" spans="1:6" ht="15" customHeight="1" x14ac:dyDescent="0.25">
      <c r="A1661" s="15">
        <v>3</v>
      </c>
      <c r="B1661" s="15" t="s">
        <v>1022</v>
      </c>
      <c r="C1661" s="20">
        <v>26</v>
      </c>
      <c r="D1661" s="20">
        <v>15751</v>
      </c>
      <c r="E1661" s="17">
        <v>12859</v>
      </c>
      <c r="F1661" s="18">
        <f t="shared" si="557"/>
        <v>0.81639260999301633</v>
      </c>
    </row>
    <row r="1662" spans="1:6" ht="15" customHeight="1" x14ac:dyDescent="0.25">
      <c r="A1662" s="15">
        <v>4</v>
      </c>
      <c r="B1662" s="15" t="s">
        <v>378</v>
      </c>
      <c r="C1662" s="20">
        <v>18</v>
      </c>
      <c r="D1662" s="20">
        <v>3511</v>
      </c>
      <c r="E1662" s="17">
        <v>2814</v>
      </c>
      <c r="F1662" s="18">
        <f t="shared" si="557"/>
        <v>0.80148105952720028</v>
      </c>
    </row>
    <row r="1663" spans="1:6" ht="15" customHeight="1" x14ac:dyDescent="0.25">
      <c r="A1663" s="15">
        <v>5</v>
      </c>
      <c r="B1663" s="15" t="s">
        <v>1023</v>
      </c>
      <c r="C1663" s="20">
        <v>34</v>
      </c>
      <c r="D1663" s="20">
        <v>22272</v>
      </c>
      <c r="E1663" s="17">
        <v>19227</v>
      </c>
      <c r="F1663" s="18">
        <f t="shared" si="557"/>
        <v>0.86328125</v>
      </c>
    </row>
    <row r="1664" spans="1:6" ht="15" customHeight="1" x14ac:dyDescent="0.25">
      <c r="A1664" s="15">
        <v>6</v>
      </c>
      <c r="B1664" s="15" t="s">
        <v>1024</v>
      </c>
      <c r="C1664" s="20">
        <v>35</v>
      </c>
      <c r="D1664" s="20">
        <v>18771</v>
      </c>
      <c r="E1664" s="17">
        <v>16039</v>
      </c>
      <c r="F1664" s="18">
        <f t="shared" si="557"/>
        <v>0.85445634223003575</v>
      </c>
    </row>
    <row r="1665" spans="1:6" ht="15" customHeight="1" x14ac:dyDescent="0.25">
      <c r="A1665" s="15">
        <v>7</v>
      </c>
      <c r="B1665" s="15" t="s">
        <v>1025</v>
      </c>
      <c r="C1665" s="20">
        <v>18</v>
      </c>
      <c r="D1665" s="20">
        <v>7429</v>
      </c>
      <c r="E1665" s="17">
        <v>6106</v>
      </c>
      <c r="F1665" s="18">
        <f t="shared" si="557"/>
        <v>0.82191412033921118</v>
      </c>
    </row>
    <row r="1666" spans="1:6" ht="15" customHeight="1" x14ac:dyDescent="0.25">
      <c r="A1666" s="15">
        <v>8</v>
      </c>
      <c r="B1666" s="15" t="s">
        <v>313</v>
      </c>
      <c r="C1666" s="20">
        <v>47</v>
      </c>
      <c r="D1666" s="20">
        <v>31206</v>
      </c>
      <c r="E1666" s="17">
        <v>26297</v>
      </c>
      <c r="F1666" s="18">
        <f t="shared" si="557"/>
        <v>0.84269050823559577</v>
      </c>
    </row>
    <row r="1667" spans="1:6" ht="15" customHeight="1" x14ac:dyDescent="0.25">
      <c r="A1667" s="15">
        <v>9</v>
      </c>
      <c r="B1667" s="15" t="s">
        <v>1026</v>
      </c>
      <c r="C1667" s="20">
        <v>31</v>
      </c>
      <c r="D1667" s="20">
        <v>14982</v>
      </c>
      <c r="E1667" s="17">
        <v>12114</v>
      </c>
      <c r="F1667" s="18">
        <f t="shared" si="557"/>
        <v>0.80857028434120948</v>
      </c>
    </row>
    <row r="1668" spans="1:6" ht="15" customHeight="1" x14ac:dyDescent="0.25">
      <c r="A1668" s="15"/>
      <c r="B1668" s="24" t="s">
        <v>1477</v>
      </c>
      <c r="C1668" s="20">
        <v>77</v>
      </c>
      <c r="D1668" s="20">
        <v>53985</v>
      </c>
      <c r="E1668" s="17">
        <v>42436</v>
      </c>
      <c r="F1668" s="18">
        <f t="shared" si="557"/>
        <v>0.78607020468648703</v>
      </c>
    </row>
    <row r="1669" spans="1:6" ht="23.1" customHeight="1" x14ac:dyDescent="0.25">
      <c r="A1669" s="22"/>
      <c r="B1669" s="22" t="s">
        <v>7</v>
      </c>
      <c r="C1669" s="14">
        <f t="shared" ref="C1669" si="562">SUM(C1670:C1676)</f>
        <v>348</v>
      </c>
      <c r="D1669" s="14">
        <f t="shared" ref="D1669:E1669" si="563">SUM(D1670:D1676)</f>
        <v>237177</v>
      </c>
      <c r="E1669" s="14">
        <f t="shared" si="563"/>
        <v>201047</v>
      </c>
      <c r="F1669" s="13">
        <f t="shared" si="557"/>
        <v>0.84766651066503074</v>
      </c>
    </row>
    <row r="1670" spans="1:6" ht="15" customHeight="1" x14ac:dyDescent="0.25">
      <c r="A1670" s="15">
        <v>1</v>
      </c>
      <c r="B1670" s="15" t="s">
        <v>1027</v>
      </c>
      <c r="C1670" s="19">
        <v>36</v>
      </c>
      <c r="D1670" s="19">
        <v>22922</v>
      </c>
      <c r="E1670" s="17">
        <v>19759</v>
      </c>
      <c r="F1670" s="18">
        <f t="shared" si="557"/>
        <v>0.86201029578570809</v>
      </c>
    </row>
    <row r="1671" spans="1:6" ht="15" customHeight="1" x14ac:dyDescent="0.25">
      <c r="A1671" s="15">
        <v>2</v>
      </c>
      <c r="B1671" s="15" t="s">
        <v>748</v>
      </c>
      <c r="C1671" s="19">
        <v>40</v>
      </c>
      <c r="D1671" s="19">
        <v>26372</v>
      </c>
      <c r="E1671" s="17">
        <v>22579</v>
      </c>
      <c r="F1671" s="18">
        <f t="shared" si="557"/>
        <v>0.85617321401486424</v>
      </c>
    </row>
    <row r="1672" spans="1:6" ht="15" customHeight="1" x14ac:dyDescent="0.25">
      <c r="A1672" s="15">
        <v>3</v>
      </c>
      <c r="B1672" s="15" t="s">
        <v>1478</v>
      </c>
      <c r="C1672" s="19">
        <v>13</v>
      </c>
      <c r="D1672" s="19">
        <v>7129</v>
      </c>
      <c r="E1672" s="17">
        <v>5896</v>
      </c>
      <c r="F1672" s="18">
        <f t="shared" si="557"/>
        <v>0.82704446626455319</v>
      </c>
    </row>
    <row r="1673" spans="1:6" ht="15" customHeight="1" x14ac:dyDescent="0.25">
      <c r="A1673" s="15">
        <v>4</v>
      </c>
      <c r="B1673" s="15" t="s">
        <v>1028</v>
      </c>
      <c r="C1673" s="19">
        <v>24</v>
      </c>
      <c r="D1673" s="19">
        <v>15060</v>
      </c>
      <c r="E1673" s="17">
        <v>11688</v>
      </c>
      <c r="F1673" s="18">
        <f t="shared" si="557"/>
        <v>0.77609561752988043</v>
      </c>
    </row>
    <row r="1674" spans="1:6" ht="15" customHeight="1" x14ac:dyDescent="0.25">
      <c r="A1674" s="15">
        <v>5</v>
      </c>
      <c r="B1674" s="15" t="s">
        <v>805</v>
      </c>
      <c r="C1674" s="19">
        <v>35</v>
      </c>
      <c r="D1674" s="19">
        <v>19421</v>
      </c>
      <c r="E1674" s="17">
        <v>16861</v>
      </c>
      <c r="F1674" s="18">
        <f t="shared" si="557"/>
        <v>0.8681839246176819</v>
      </c>
    </row>
    <row r="1675" spans="1:6" ht="15" customHeight="1" x14ac:dyDescent="0.25">
      <c r="A1675" s="15"/>
      <c r="B1675" s="24" t="s">
        <v>1479</v>
      </c>
      <c r="C1675" s="19">
        <v>128</v>
      </c>
      <c r="D1675" s="19">
        <v>99937</v>
      </c>
      <c r="E1675" s="17">
        <v>84608</v>
      </c>
      <c r="F1675" s="18">
        <f t="shared" si="557"/>
        <v>0.84661336642084517</v>
      </c>
    </row>
    <row r="1676" spans="1:6" ht="15" customHeight="1" x14ac:dyDescent="0.25">
      <c r="A1676" s="15"/>
      <c r="B1676" s="24" t="s">
        <v>1480</v>
      </c>
      <c r="C1676" s="19">
        <v>72</v>
      </c>
      <c r="D1676" s="19">
        <v>46336</v>
      </c>
      <c r="E1676" s="17">
        <v>39656</v>
      </c>
      <c r="F1676" s="18">
        <f t="shared" si="557"/>
        <v>0.855835635359116</v>
      </c>
    </row>
    <row r="1677" spans="1:6" ht="23.1" customHeight="1" x14ac:dyDescent="0.25">
      <c r="A1677" s="22"/>
      <c r="B1677" s="22" t="s">
        <v>1029</v>
      </c>
      <c r="C1677" s="14">
        <f t="shared" ref="C1677" si="564">SUM(C1678+C1690+C1706)</f>
        <v>1452</v>
      </c>
      <c r="D1677" s="14">
        <f t="shared" ref="D1677:E1677" si="565">SUM(D1678+D1690+D1706)</f>
        <v>1106297</v>
      </c>
      <c r="E1677" s="14">
        <f t="shared" si="565"/>
        <v>958541</v>
      </c>
      <c r="F1677" s="13">
        <f t="shared" si="557"/>
        <v>0.86644092861139455</v>
      </c>
    </row>
    <row r="1678" spans="1:6" ht="23.1" customHeight="1" x14ac:dyDescent="0.25">
      <c r="A1678" s="22"/>
      <c r="B1678" s="22" t="s">
        <v>6</v>
      </c>
      <c r="C1678" s="14">
        <f t="shared" ref="C1678" si="566">SUM(C1679:C1689)</f>
        <v>429</v>
      </c>
      <c r="D1678" s="14">
        <f t="shared" ref="D1678:E1678" si="567">SUM(D1679:D1689)</f>
        <v>300911</v>
      </c>
      <c r="E1678" s="14">
        <f t="shared" si="567"/>
        <v>266153</v>
      </c>
      <c r="F1678" s="13">
        <f t="shared" si="557"/>
        <v>0.88449076304953955</v>
      </c>
    </row>
    <row r="1679" spans="1:6" ht="15" customHeight="1" x14ac:dyDescent="0.25">
      <c r="A1679" s="15">
        <v>1</v>
      </c>
      <c r="B1679" s="15" t="s">
        <v>1030</v>
      </c>
      <c r="C1679" s="20">
        <v>68</v>
      </c>
      <c r="D1679" s="20">
        <v>52740</v>
      </c>
      <c r="E1679" s="17">
        <v>46561</v>
      </c>
      <c r="F1679" s="18">
        <f t="shared" si="557"/>
        <v>0.88284034888130447</v>
      </c>
    </row>
    <row r="1680" spans="1:6" ht="15" customHeight="1" x14ac:dyDescent="0.25">
      <c r="A1680" s="15">
        <v>2</v>
      </c>
      <c r="B1680" s="15" t="s">
        <v>1031</v>
      </c>
      <c r="C1680" s="20">
        <v>14</v>
      </c>
      <c r="D1680" s="20">
        <v>9241</v>
      </c>
      <c r="E1680" s="17">
        <v>8095</v>
      </c>
      <c r="F1680" s="18">
        <f t="shared" si="557"/>
        <v>0.875987447245969</v>
      </c>
    </row>
    <row r="1681" spans="1:6" ht="15" customHeight="1" x14ac:dyDescent="0.25">
      <c r="A1681" s="15">
        <v>3</v>
      </c>
      <c r="B1681" s="15" t="s">
        <v>1032</v>
      </c>
      <c r="C1681" s="20">
        <v>12</v>
      </c>
      <c r="D1681" s="20">
        <v>7590</v>
      </c>
      <c r="E1681" s="17">
        <v>6768</v>
      </c>
      <c r="F1681" s="18">
        <f t="shared" si="557"/>
        <v>0.89169960474308296</v>
      </c>
    </row>
    <row r="1682" spans="1:6" ht="15" customHeight="1" x14ac:dyDescent="0.25">
      <c r="A1682" s="15">
        <v>4</v>
      </c>
      <c r="B1682" s="15" t="s">
        <v>1033</v>
      </c>
      <c r="C1682" s="20">
        <v>21</v>
      </c>
      <c r="D1682" s="20">
        <v>12537</v>
      </c>
      <c r="E1682" s="17">
        <v>11305</v>
      </c>
      <c r="F1682" s="18">
        <f t="shared" si="557"/>
        <v>0.90173087660524842</v>
      </c>
    </row>
    <row r="1683" spans="1:6" ht="15" customHeight="1" x14ac:dyDescent="0.25">
      <c r="A1683" s="15">
        <v>5</v>
      </c>
      <c r="B1683" s="15" t="s">
        <v>1034</v>
      </c>
      <c r="C1683" s="20">
        <v>24</v>
      </c>
      <c r="D1683" s="20">
        <v>19028</v>
      </c>
      <c r="E1683" s="17">
        <v>17237</v>
      </c>
      <c r="F1683" s="18">
        <f t="shared" si="557"/>
        <v>0.90587555181837287</v>
      </c>
    </row>
    <row r="1684" spans="1:6" ht="15" customHeight="1" x14ac:dyDescent="0.25">
      <c r="A1684" s="15">
        <v>6</v>
      </c>
      <c r="B1684" s="15" t="s">
        <v>1481</v>
      </c>
      <c r="C1684" s="20">
        <v>39</v>
      </c>
      <c r="D1684" s="20">
        <v>24662</v>
      </c>
      <c r="E1684" s="17">
        <v>21615</v>
      </c>
      <c r="F1684" s="18">
        <f t="shared" si="557"/>
        <v>0.87644959857270299</v>
      </c>
    </row>
    <row r="1685" spans="1:6" ht="15" customHeight="1" x14ac:dyDescent="0.25">
      <c r="A1685" s="15">
        <v>7</v>
      </c>
      <c r="B1685" s="15" t="s">
        <v>1035</v>
      </c>
      <c r="C1685" s="20">
        <v>35</v>
      </c>
      <c r="D1685" s="20">
        <v>26525</v>
      </c>
      <c r="E1685" s="17">
        <v>23653</v>
      </c>
      <c r="F1685" s="18">
        <f t="shared" si="557"/>
        <v>0.89172478793590948</v>
      </c>
    </row>
    <row r="1686" spans="1:6" ht="15" customHeight="1" x14ac:dyDescent="0.25">
      <c r="A1686" s="15">
        <v>8</v>
      </c>
      <c r="B1686" s="15" t="s">
        <v>1036</v>
      </c>
      <c r="C1686" s="20">
        <v>31</v>
      </c>
      <c r="D1686" s="20">
        <v>22374</v>
      </c>
      <c r="E1686" s="17">
        <v>20051</v>
      </c>
      <c r="F1686" s="18">
        <f t="shared" si="557"/>
        <v>0.89617413068740504</v>
      </c>
    </row>
    <row r="1687" spans="1:6" ht="15" customHeight="1" x14ac:dyDescent="0.25">
      <c r="A1687" s="15">
        <v>9</v>
      </c>
      <c r="B1687" s="15" t="s">
        <v>1037</v>
      </c>
      <c r="C1687" s="20">
        <v>14</v>
      </c>
      <c r="D1687" s="20">
        <v>9758</v>
      </c>
      <c r="E1687" s="17">
        <v>8899</v>
      </c>
      <c r="F1687" s="18">
        <f t="shared" si="557"/>
        <v>0.9119696659151465</v>
      </c>
    </row>
    <row r="1688" spans="1:6" ht="15" customHeight="1" x14ac:dyDescent="0.25">
      <c r="A1688" s="15">
        <v>10</v>
      </c>
      <c r="B1688" s="15" t="s">
        <v>1038</v>
      </c>
      <c r="C1688" s="20">
        <v>29</v>
      </c>
      <c r="D1688" s="20">
        <v>20398</v>
      </c>
      <c r="E1688" s="17">
        <v>18292</v>
      </c>
      <c r="F1688" s="18">
        <f t="shared" ref="F1688:F1704" si="568">SUM(E1688/D1688)</f>
        <v>0.89675458378272377</v>
      </c>
    </row>
    <row r="1689" spans="1:6" ht="15" customHeight="1" x14ac:dyDescent="0.25">
      <c r="A1689" s="15"/>
      <c r="B1689" s="24" t="s">
        <v>1482</v>
      </c>
      <c r="C1689" s="20">
        <v>142</v>
      </c>
      <c r="D1689" s="20">
        <v>96058</v>
      </c>
      <c r="E1689" s="17">
        <v>83677</v>
      </c>
      <c r="F1689" s="18">
        <f t="shared" si="568"/>
        <v>0.8711091215723834</v>
      </c>
    </row>
    <row r="1690" spans="1:6" ht="23.1" customHeight="1" x14ac:dyDescent="0.25">
      <c r="A1690" s="22"/>
      <c r="B1690" s="22" t="s">
        <v>7</v>
      </c>
      <c r="C1690" s="14">
        <f t="shared" ref="C1690" si="569">SUM(C1691:C1704)</f>
        <v>541</v>
      </c>
      <c r="D1690" s="14">
        <f t="shared" ref="D1690:E1690" si="570">SUM(D1691:D1704)</f>
        <v>390691</v>
      </c>
      <c r="E1690" s="14">
        <f t="shared" si="570"/>
        <v>341193</v>
      </c>
      <c r="F1690" s="13">
        <f t="shared" si="568"/>
        <v>0.87330652612934523</v>
      </c>
    </row>
    <row r="1691" spans="1:6" ht="15" customHeight="1" x14ac:dyDescent="0.25">
      <c r="A1691" s="15">
        <v>1</v>
      </c>
      <c r="B1691" s="15" t="s">
        <v>1039</v>
      </c>
      <c r="C1691" s="20">
        <v>32</v>
      </c>
      <c r="D1691" s="20">
        <v>22250</v>
      </c>
      <c r="E1691" s="17">
        <v>20135</v>
      </c>
      <c r="F1691" s="18">
        <f t="shared" si="568"/>
        <v>0.90494382022471909</v>
      </c>
    </row>
    <row r="1692" spans="1:6" ht="15" customHeight="1" x14ac:dyDescent="0.25">
      <c r="A1692" s="15">
        <v>2</v>
      </c>
      <c r="B1692" s="15" t="s">
        <v>223</v>
      </c>
      <c r="C1692" s="20">
        <v>54</v>
      </c>
      <c r="D1692" s="20">
        <v>38484</v>
      </c>
      <c r="E1692" s="17">
        <v>33245</v>
      </c>
      <c r="F1692" s="18">
        <f t="shared" si="568"/>
        <v>0.86386550254651284</v>
      </c>
    </row>
    <row r="1693" spans="1:6" ht="15" customHeight="1" x14ac:dyDescent="0.25">
      <c r="A1693" s="15">
        <v>3</v>
      </c>
      <c r="B1693" s="15" t="s">
        <v>1040</v>
      </c>
      <c r="C1693" s="20">
        <v>22</v>
      </c>
      <c r="D1693" s="66">
        <v>15828</v>
      </c>
      <c r="E1693" s="17">
        <v>14301</v>
      </c>
      <c r="F1693" s="18">
        <f t="shared" si="568"/>
        <v>0.90352539802880971</v>
      </c>
    </row>
    <row r="1694" spans="1:6" ht="15" customHeight="1" x14ac:dyDescent="0.25">
      <c r="A1694" s="15">
        <v>4</v>
      </c>
      <c r="B1694" s="15" t="s">
        <v>1041</v>
      </c>
      <c r="C1694" s="20">
        <v>30</v>
      </c>
      <c r="D1694" s="20">
        <v>22793</v>
      </c>
      <c r="E1694" s="17">
        <v>19445</v>
      </c>
      <c r="F1694" s="18">
        <f t="shared" si="568"/>
        <v>0.85311279778879479</v>
      </c>
    </row>
    <row r="1695" spans="1:6" ht="15" customHeight="1" x14ac:dyDescent="0.25">
      <c r="A1695" s="15">
        <v>5</v>
      </c>
      <c r="B1695" s="15" t="s">
        <v>1042</v>
      </c>
      <c r="C1695" s="20">
        <v>47</v>
      </c>
      <c r="D1695" s="20">
        <v>39516</v>
      </c>
      <c r="E1695" s="17">
        <v>33561</v>
      </c>
      <c r="F1695" s="18">
        <f t="shared" si="568"/>
        <v>0.84930154873975094</v>
      </c>
    </row>
    <row r="1696" spans="1:6" ht="15" customHeight="1" x14ac:dyDescent="0.25">
      <c r="A1696" s="15">
        <v>6</v>
      </c>
      <c r="B1696" s="15" t="s">
        <v>1043</v>
      </c>
      <c r="C1696" s="20">
        <v>30</v>
      </c>
      <c r="D1696" s="20">
        <v>21128</v>
      </c>
      <c r="E1696" s="17">
        <v>18932</v>
      </c>
      <c r="F1696" s="18">
        <f t="shared" si="568"/>
        <v>0.89606209769026879</v>
      </c>
    </row>
    <row r="1697" spans="1:6" ht="15" customHeight="1" x14ac:dyDescent="0.25">
      <c r="A1697" s="15">
        <v>7</v>
      </c>
      <c r="B1697" s="15" t="s">
        <v>653</v>
      </c>
      <c r="C1697" s="20">
        <v>19</v>
      </c>
      <c r="D1697" s="20">
        <v>11180</v>
      </c>
      <c r="E1697" s="17">
        <v>9915</v>
      </c>
      <c r="F1697" s="18">
        <f t="shared" si="568"/>
        <v>0.88685152057245076</v>
      </c>
    </row>
    <row r="1698" spans="1:6" ht="15" customHeight="1" x14ac:dyDescent="0.25">
      <c r="A1698" s="15">
        <v>8</v>
      </c>
      <c r="B1698" s="15" t="s">
        <v>1044</v>
      </c>
      <c r="C1698" s="20">
        <v>23</v>
      </c>
      <c r="D1698" s="20">
        <v>15293</v>
      </c>
      <c r="E1698" s="17">
        <v>13718</v>
      </c>
      <c r="F1698" s="18">
        <f t="shared" si="568"/>
        <v>0.89701170470149738</v>
      </c>
    </row>
    <row r="1699" spans="1:6" ht="15" customHeight="1" x14ac:dyDescent="0.25">
      <c r="A1699" s="15">
        <v>9</v>
      </c>
      <c r="B1699" s="15" t="s">
        <v>1045</v>
      </c>
      <c r="C1699" s="20">
        <v>29</v>
      </c>
      <c r="D1699" s="20">
        <v>22125</v>
      </c>
      <c r="E1699" s="17">
        <v>18618</v>
      </c>
      <c r="F1699" s="18">
        <f t="shared" si="568"/>
        <v>0.84149152542372885</v>
      </c>
    </row>
    <row r="1700" spans="1:6" ht="15" customHeight="1" x14ac:dyDescent="0.25">
      <c r="A1700" s="15">
        <v>10</v>
      </c>
      <c r="B1700" s="15" t="s">
        <v>1046</v>
      </c>
      <c r="C1700" s="20">
        <v>22</v>
      </c>
      <c r="D1700" s="20">
        <v>16357</v>
      </c>
      <c r="E1700" s="17">
        <v>14385</v>
      </c>
      <c r="F1700" s="18">
        <f t="shared" si="568"/>
        <v>0.87943999510912763</v>
      </c>
    </row>
    <row r="1701" spans="1:6" ht="15" customHeight="1" x14ac:dyDescent="0.25">
      <c r="A1701" s="15">
        <v>11</v>
      </c>
      <c r="B1701" s="15" t="s">
        <v>1047</v>
      </c>
      <c r="C1701" s="20">
        <v>57</v>
      </c>
      <c r="D1701" s="20">
        <v>39343</v>
      </c>
      <c r="E1701" s="17">
        <v>34000</v>
      </c>
      <c r="F1701" s="18">
        <f t="shared" si="568"/>
        <v>0.86419439290343902</v>
      </c>
    </row>
    <row r="1702" spans="1:6" ht="15" customHeight="1" x14ac:dyDescent="0.25">
      <c r="A1702" s="15">
        <v>12</v>
      </c>
      <c r="B1702" s="15" t="s">
        <v>1009</v>
      </c>
      <c r="C1702" s="20">
        <v>66</v>
      </c>
      <c r="D1702" s="20">
        <v>49826</v>
      </c>
      <c r="E1702" s="17">
        <v>42246</v>
      </c>
      <c r="F1702" s="18">
        <f t="shared" si="568"/>
        <v>0.84787058965198892</v>
      </c>
    </row>
    <row r="1703" spans="1:6" ht="15" customHeight="1" x14ac:dyDescent="0.25">
      <c r="A1703" s="15">
        <v>13</v>
      </c>
      <c r="B1703" s="15" t="s">
        <v>1048</v>
      </c>
      <c r="C1703" s="20">
        <v>43</v>
      </c>
      <c r="D1703" s="20">
        <v>29759</v>
      </c>
      <c r="E1703" s="17">
        <v>26766</v>
      </c>
      <c r="F1703" s="18">
        <f t="shared" si="568"/>
        <v>0.8994253839174704</v>
      </c>
    </row>
    <row r="1704" spans="1:6" ht="15" customHeight="1" x14ac:dyDescent="0.25">
      <c r="A1704" s="15"/>
      <c r="B1704" s="24" t="s">
        <v>1483</v>
      </c>
      <c r="C1704" s="20">
        <v>67</v>
      </c>
      <c r="D1704" s="20">
        <v>46809</v>
      </c>
      <c r="E1704" s="17">
        <v>41926</v>
      </c>
      <c r="F1704" s="18">
        <f t="shared" si="568"/>
        <v>0.89568245422888759</v>
      </c>
    </row>
    <row r="1705" spans="1:6" ht="23.1" customHeight="1" x14ac:dyDescent="0.25">
      <c r="A1705" s="22"/>
      <c r="B1705" s="22" t="s">
        <v>808</v>
      </c>
      <c r="C1705" s="14"/>
      <c r="D1705" s="14"/>
      <c r="E1705" s="14"/>
      <c r="F1705" s="18"/>
    </row>
    <row r="1706" spans="1:6" ht="15" customHeight="1" x14ac:dyDescent="0.25">
      <c r="A1706" s="15"/>
      <c r="B1706" s="24" t="s">
        <v>1484</v>
      </c>
      <c r="C1706" s="29">
        <f>SUM(C1707:C1708)</f>
        <v>482</v>
      </c>
      <c r="D1706" s="29">
        <f>SUM(D1707:D1708)</f>
        <v>414695</v>
      </c>
      <c r="E1706" s="41">
        <f t="shared" ref="E1706" si="571">SUM(E1707:E1708)</f>
        <v>351195</v>
      </c>
      <c r="F1706" s="18">
        <f t="shared" ref="F1706:F1741" si="572">SUM(E1706/D1706)</f>
        <v>0.84687541446123049</v>
      </c>
    </row>
    <row r="1707" spans="1:6" ht="15" customHeight="1" x14ac:dyDescent="0.25">
      <c r="A1707" s="15"/>
      <c r="B1707" s="15" t="s">
        <v>6</v>
      </c>
      <c r="C1707" s="20">
        <v>233</v>
      </c>
      <c r="D1707" s="20">
        <v>211679</v>
      </c>
      <c r="E1707" s="16">
        <v>184555</v>
      </c>
      <c r="F1707" s="18">
        <f t="shared" si="572"/>
        <v>0.87186258438484687</v>
      </c>
    </row>
    <row r="1708" spans="1:6" ht="15" customHeight="1" x14ac:dyDescent="0.25">
      <c r="A1708" s="15"/>
      <c r="B1708" s="15" t="s">
        <v>7</v>
      </c>
      <c r="C1708" s="16">
        <v>249</v>
      </c>
      <c r="D1708" s="16">
        <v>203016</v>
      </c>
      <c r="E1708" s="16">
        <v>166640</v>
      </c>
      <c r="F1708" s="18">
        <f t="shared" si="572"/>
        <v>0.82082200417701068</v>
      </c>
    </row>
    <row r="1709" spans="1:6" ht="23.1" customHeight="1" x14ac:dyDescent="0.25">
      <c r="A1709" s="140" t="s">
        <v>1049</v>
      </c>
      <c r="B1709" s="140"/>
      <c r="C1709" s="14">
        <f>SUM(C1724+C1741+C1760+C1710+C1774)</f>
        <v>4189</v>
      </c>
      <c r="D1709" s="14">
        <f>SUM(D1724+D1741+D1760+D1710+D1774)</f>
        <v>3376470</v>
      </c>
      <c r="E1709" s="14">
        <f>SUM(E1724+E1741+E1760+E1710+E1774)</f>
        <v>2779125</v>
      </c>
      <c r="F1709" s="13">
        <f t="shared" si="572"/>
        <v>0.82308594478849217</v>
      </c>
    </row>
    <row r="1710" spans="1:6" ht="23.1" customHeight="1" x14ac:dyDescent="0.25">
      <c r="A1710" s="22"/>
      <c r="B1710" s="22" t="s">
        <v>1541</v>
      </c>
      <c r="C1710" s="14">
        <f t="shared" ref="C1710" si="573">SUM(C1711+C1717)</f>
        <v>703</v>
      </c>
      <c r="D1710" s="14">
        <f t="shared" ref="D1710:E1710" si="574">SUM(D1711+D1717)</f>
        <v>548390</v>
      </c>
      <c r="E1710" s="14">
        <f t="shared" si="574"/>
        <v>490629</v>
      </c>
      <c r="F1710" s="13">
        <f t="shared" si="572"/>
        <v>0.8946716752676015</v>
      </c>
    </row>
    <row r="1711" spans="1:6" ht="23.1" customHeight="1" x14ac:dyDescent="0.25">
      <c r="A1711" s="22"/>
      <c r="B1711" s="22" t="s">
        <v>6</v>
      </c>
      <c r="C1711" s="14">
        <f t="shared" ref="C1711" si="575">SUM(C1712:C1716)</f>
        <v>309</v>
      </c>
      <c r="D1711" s="14">
        <f t="shared" ref="D1711:E1711" si="576">SUM(D1712:D1716)</f>
        <v>245824</v>
      </c>
      <c r="E1711" s="14">
        <f t="shared" si="576"/>
        <v>219944</v>
      </c>
      <c r="F1711" s="13">
        <f t="shared" si="572"/>
        <v>0.89472142671179378</v>
      </c>
    </row>
    <row r="1712" spans="1:6" ht="15" customHeight="1" x14ac:dyDescent="0.25">
      <c r="A1712" s="15">
        <v>1</v>
      </c>
      <c r="B1712" s="15" t="s">
        <v>800</v>
      </c>
      <c r="C1712" s="20">
        <v>73</v>
      </c>
      <c r="D1712" s="20">
        <v>61803</v>
      </c>
      <c r="E1712" s="17">
        <v>54864</v>
      </c>
      <c r="F1712" s="18">
        <f t="shared" si="572"/>
        <v>0.88772389689820885</v>
      </c>
    </row>
    <row r="1713" spans="1:6" ht="15" customHeight="1" x14ac:dyDescent="0.25">
      <c r="A1713" s="15">
        <v>2</v>
      </c>
      <c r="B1713" s="15" t="s">
        <v>1485</v>
      </c>
      <c r="C1713" s="20">
        <v>62</v>
      </c>
      <c r="D1713" s="20">
        <v>46326</v>
      </c>
      <c r="E1713" s="17">
        <v>41967</v>
      </c>
      <c r="F1713" s="18">
        <f t="shared" si="572"/>
        <v>0.90590597072918011</v>
      </c>
    </row>
    <row r="1714" spans="1:6" ht="15" customHeight="1" x14ac:dyDescent="0.25">
      <c r="A1714" s="15">
        <v>3</v>
      </c>
      <c r="B1714" s="15" t="s">
        <v>1050</v>
      </c>
      <c r="C1714" s="20">
        <v>82</v>
      </c>
      <c r="D1714" s="20">
        <v>67089</v>
      </c>
      <c r="E1714" s="17">
        <v>59628</v>
      </c>
      <c r="F1714" s="18">
        <f t="shared" si="572"/>
        <v>0.88878951840093012</v>
      </c>
    </row>
    <row r="1715" spans="1:6" ht="15" customHeight="1" x14ac:dyDescent="0.25">
      <c r="A1715" s="15">
        <v>4</v>
      </c>
      <c r="B1715" s="15" t="s">
        <v>1051</v>
      </c>
      <c r="C1715" s="20">
        <v>44</v>
      </c>
      <c r="D1715" s="20">
        <v>33780</v>
      </c>
      <c r="E1715" s="17">
        <v>30194</v>
      </c>
      <c r="F1715" s="18">
        <f t="shared" si="572"/>
        <v>0.89384251036116047</v>
      </c>
    </row>
    <row r="1716" spans="1:6" ht="15" customHeight="1" x14ac:dyDescent="0.25">
      <c r="A1716" s="15">
        <v>5</v>
      </c>
      <c r="B1716" s="15" t="s">
        <v>1052</v>
      </c>
      <c r="C1716" s="20">
        <v>48</v>
      </c>
      <c r="D1716" s="20">
        <v>36826</v>
      </c>
      <c r="E1716" s="17">
        <v>33291</v>
      </c>
      <c r="F1716" s="18">
        <f t="shared" si="572"/>
        <v>0.90400803779938088</v>
      </c>
    </row>
    <row r="1717" spans="1:6" ht="23.1" customHeight="1" x14ac:dyDescent="0.25">
      <c r="A1717" s="22"/>
      <c r="B1717" s="22" t="s">
        <v>7</v>
      </c>
      <c r="C1717" s="14">
        <f t="shared" ref="C1717" si="577">SUM(C1718:C1723)</f>
        <v>394</v>
      </c>
      <c r="D1717" s="14">
        <f t="shared" ref="D1717:E1717" si="578">SUM(D1718:D1723)</f>
        <v>302566</v>
      </c>
      <c r="E1717" s="14">
        <f t="shared" si="578"/>
        <v>270685</v>
      </c>
      <c r="F1717" s="13">
        <f t="shared" si="572"/>
        <v>0.89463125400739008</v>
      </c>
    </row>
    <row r="1718" spans="1:6" ht="15" customHeight="1" x14ac:dyDescent="0.25">
      <c r="A1718" s="15">
        <v>1</v>
      </c>
      <c r="B1718" s="15" t="s">
        <v>1486</v>
      </c>
      <c r="C1718" s="20">
        <v>82</v>
      </c>
      <c r="D1718" s="20">
        <v>57135</v>
      </c>
      <c r="E1718" s="17">
        <v>52164</v>
      </c>
      <c r="F1718" s="18">
        <f t="shared" si="572"/>
        <v>0.91299553688632185</v>
      </c>
    </row>
    <row r="1719" spans="1:6" ht="15" customHeight="1" x14ac:dyDescent="0.25">
      <c r="A1719" s="15">
        <v>2</v>
      </c>
      <c r="B1719" s="15" t="s">
        <v>1487</v>
      </c>
      <c r="C1719" s="20">
        <v>40</v>
      </c>
      <c r="D1719" s="20">
        <v>31560</v>
      </c>
      <c r="E1719" s="17">
        <v>27855</v>
      </c>
      <c r="F1719" s="18">
        <f t="shared" si="572"/>
        <v>0.88260456273764254</v>
      </c>
    </row>
    <row r="1720" spans="1:6" ht="15" customHeight="1" x14ac:dyDescent="0.25">
      <c r="A1720" s="15">
        <v>3</v>
      </c>
      <c r="B1720" s="15" t="s">
        <v>1053</v>
      </c>
      <c r="C1720" s="20">
        <v>84</v>
      </c>
      <c r="D1720" s="20">
        <v>63871</v>
      </c>
      <c r="E1720" s="17">
        <v>55260</v>
      </c>
      <c r="F1720" s="18">
        <f t="shared" si="572"/>
        <v>0.86518138122152466</v>
      </c>
    </row>
    <row r="1721" spans="1:6" ht="15" customHeight="1" x14ac:dyDescent="0.25">
      <c r="A1721" s="15">
        <v>4</v>
      </c>
      <c r="B1721" s="15" t="s">
        <v>1054</v>
      </c>
      <c r="C1721" s="20">
        <v>35</v>
      </c>
      <c r="D1721" s="20">
        <v>29077</v>
      </c>
      <c r="E1721" s="17">
        <v>26037</v>
      </c>
      <c r="F1721" s="18">
        <f t="shared" si="572"/>
        <v>0.89545001203700514</v>
      </c>
    </row>
    <row r="1722" spans="1:6" ht="15" customHeight="1" x14ac:dyDescent="0.25">
      <c r="A1722" s="15">
        <v>5</v>
      </c>
      <c r="B1722" s="15" t="s">
        <v>1488</v>
      </c>
      <c r="C1722" s="20">
        <v>67</v>
      </c>
      <c r="D1722" s="20">
        <v>53977</v>
      </c>
      <c r="E1722" s="17">
        <v>48803</v>
      </c>
      <c r="F1722" s="18">
        <f t="shared" si="572"/>
        <v>0.90414435778201829</v>
      </c>
    </row>
    <row r="1723" spans="1:6" ht="15" customHeight="1" x14ac:dyDescent="0.25">
      <c r="A1723" s="15">
        <v>6</v>
      </c>
      <c r="B1723" s="15" t="s">
        <v>1055</v>
      </c>
      <c r="C1723" s="20">
        <v>86</v>
      </c>
      <c r="D1723" s="20">
        <v>66946</v>
      </c>
      <c r="E1723" s="17">
        <v>60566</v>
      </c>
      <c r="F1723" s="18">
        <f t="shared" si="572"/>
        <v>0.90469930989155434</v>
      </c>
    </row>
    <row r="1724" spans="1:6" ht="23.1" customHeight="1" x14ac:dyDescent="0.25">
      <c r="A1724" s="22"/>
      <c r="B1724" s="22" t="s">
        <v>1056</v>
      </c>
      <c r="C1724" s="14">
        <f t="shared" ref="C1724" si="579">SUM(C1725+C1732)</f>
        <v>882</v>
      </c>
      <c r="D1724" s="14">
        <f t="shared" ref="D1724:E1724" si="580">SUM(D1725+D1732)</f>
        <v>717449</v>
      </c>
      <c r="E1724" s="14">
        <f t="shared" si="580"/>
        <v>602325</v>
      </c>
      <c r="F1724" s="13">
        <f t="shared" si="572"/>
        <v>0.8395370263252161</v>
      </c>
    </row>
    <row r="1725" spans="1:6" ht="23.1" customHeight="1" x14ac:dyDescent="0.25">
      <c r="A1725" s="22"/>
      <c r="B1725" s="22" t="s">
        <v>6</v>
      </c>
      <c r="C1725" s="14">
        <f t="shared" ref="C1725" si="581">SUM(C1726:C1731)</f>
        <v>429</v>
      </c>
      <c r="D1725" s="14">
        <f t="shared" ref="D1725:E1725" si="582">SUM(D1726:D1731)</f>
        <v>347453</v>
      </c>
      <c r="E1725" s="14">
        <f t="shared" si="582"/>
        <v>290211</v>
      </c>
      <c r="F1725" s="13">
        <f t="shared" si="572"/>
        <v>0.83525253775330766</v>
      </c>
    </row>
    <row r="1726" spans="1:6" ht="15" customHeight="1" x14ac:dyDescent="0.25">
      <c r="A1726" s="15">
        <v>1</v>
      </c>
      <c r="B1726" s="15" t="s">
        <v>1489</v>
      </c>
      <c r="C1726" s="19">
        <v>56</v>
      </c>
      <c r="D1726" s="19">
        <v>42484</v>
      </c>
      <c r="E1726" s="17">
        <v>35519</v>
      </c>
      <c r="F1726" s="18">
        <f t="shared" si="572"/>
        <v>0.83605592693719988</v>
      </c>
    </row>
    <row r="1727" spans="1:6" ht="15" customHeight="1" x14ac:dyDescent="0.25">
      <c r="A1727" s="15">
        <v>2</v>
      </c>
      <c r="B1727" s="15" t="s">
        <v>1057</v>
      </c>
      <c r="C1727" s="19">
        <v>67</v>
      </c>
      <c r="D1727" s="19">
        <v>52281</v>
      </c>
      <c r="E1727" s="17">
        <v>44478</v>
      </c>
      <c r="F1727" s="18">
        <f t="shared" si="572"/>
        <v>0.85074883800998446</v>
      </c>
    </row>
    <row r="1728" spans="1:6" ht="15" customHeight="1" x14ac:dyDescent="0.25">
      <c r="A1728" s="15">
        <v>3</v>
      </c>
      <c r="B1728" s="15" t="s">
        <v>1058</v>
      </c>
      <c r="C1728" s="19">
        <v>50</v>
      </c>
      <c r="D1728" s="19">
        <v>38200</v>
      </c>
      <c r="E1728" s="17">
        <v>33653</v>
      </c>
      <c r="F1728" s="18">
        <f t="shared" si="572"/>
        <v>0.88096858638743458</v>
      </c>
    </row>
    <row r="1729" spans="1:6" ht="15" customHeight="1" x14ac:dyDescent="0.25">
      <c r="A1729" s="15">
        <v>4</v>
      </c>
      <c r="B1729" s="15" t="s">
        <v>35</v>
      </c>
      <c r="C1729" s="20">
        <v>28</v>
      </c>
      <c r="D1729" s="20">
        <v>20363</v>
      </c>
      <c r="E1729" s="17">
        <v>17441</v>
      </c>
      <c r="F1729" s="18">
        <f t="shared" si="572"/>
        <v>0.85650444433531403</v>
      </c>
    </row>
    <row r="1730" spans="1:6" ht="15" customHeight="1" x14ac:dyDescent="0.25">
      <c r="A1730" s="15">
        <v>5</v>
      </c>
      <c r="B1730" s="15" t="s">
        <v>1059</v>
      </c>
      <c r="C1730" s="20">
        <v>23</v>
      </c>
      <c r="D1730" s="20">
        <v>16774</v>
      </c>
      <c r="E1730" s="17">
        <v>12876</v>
      </c>
      <c r="F1730" s="18">
        <f t="shared" si="572"/>
        <v>0.76761654942172408</v>
      </c>
    </row>
    <row r="1731" spans="1:6" ht="15" customHeight="1" x14ac:dyDescent="0.25">
      <c r="A1731" s="15"/>
      <c r="B1731" s="24" t="s">
        <v>1490</v>
      </c>
      <c r="C1731" s="20">
        <v>205</v>
      </c>
      <c r="D1731" s="20">
        <v>177351</v>
      </c>
      <c r="E1731" s="17">
        <v>146244</v>
      </c>
      <c r="F1731" s="18">
        <f t="shared" si="572"/>
        <v>0.82460206032105821</v>
      </c>
    </row>
    <row r="1732" spans="1:6" ht="23.1" customHeight="1" x14ac:dyDescent="0.25">
      <c r="A1732" s="22"/>
      <c r="B1732" s="22" t="s">
        <v>7</v>
      </c>
      <c r="C1732" s="14">
        <f t="shared" ref="C1732" si="583">SUM(C1733:C1737)</f>
        <v>453</v>
      </c>
      <c r="D1732" s="14">
        <f t="shared" ref="D1732:E1732" si="584">SUM(D1733:D1737)</f>
        <v>369996</v>
      </c>
      <c r="E1732" s="14">
        <f t="shared" si="584"/>
        <v>312114</v>
      </c>
      <c r="F1732" s="13">
        <f t="shared" si="572"/>
        <v>0.84356047092400999</v>
      </c>
    </row>
    <row r="1733" spans="1:6" ht="15" customHeight="1" x14ac:dyDescent="0.25">
      <c r="A1733" s="15">
        <v>1</v>
      </c>
      <c r="B1733" s="15" t="s">
        <v>1060</v>
      </c>
      <c r="C1733" s="20">
        <v>28</v>
      </c>
      <c r="D1733" s="20">
        <v>22834</v>
      </c>
      <c r="E1733" s="17">
        <v>18550</v>
      </c>
      <c r="F1733" s="18">
        <f t="shared" si="572"/>
        <v>0.81238503985285104</v>
      </c>
    </row>
    <row r="1734" spans="1:6" ht="15" customHeight="1" x14ac:dyDescent="0.25">
      <c r="A1734" s="15">
        <v>2</v>
      </c>
      <c r="B1734" s="15" t="s">
        <v>757</v>
      </c>
      <c r="C1734" s="20">
        <v>62</v>
      </c>
      <c r="D1734" s="20">
        <v>52421</v>
      </c>
      <c r="E1734" s="17">
        <v>44087</v>
      </c>
      <c r="F1734" s="18">
        <f t="shared" si="572"/>
        <v>0.84101791266858705</v>
      </c>
    </row>
    <row r="1735" spans="1:6" ht="15" customHeight="1" x14ac:dyDescent="0.25">
      <c r="A1735" s="15">
        <v>3</v>
      </c>
      <c r="B1735" s="15" t="s">
        <v>161</v>
      </c>
      <c r="C1735" s="19">
        <v>93</v>
      </c>
      <c r="D1735" s="19">
        <v>74990</v>
      </c>
      <c r="E1735" s="17">
        <v>63276</v>
      </c>
      <c r="F1735" s="18">
        <f t="shared" si="572"/>
        <v>0.84379250566742237</v>
      </c>
    </row>
    <row r="1736" spans="1:6" ht="15" customHeight="1" x14ac:dyDescent="0.25">
      <c r="A1736" s="15"/>
      <c r="B1736" s="24" t="s">
        <v>1491</v>
      </c>
      <c r="C1736" s="19">
        <v>155</v>
      </c>
      <c r="D1736" s="19">
        <v>131807</v>
      </c>
      <c r="E1736" s="17">
        <v>109802</v>
      </c>
      <c r="F1736" s="18">
        <f t="shared" si="572"/>
        <v>0.83305135539083663</v>
      </c>
    </row>
    <row r="1737" spans="1:6" ht="15" customHeight="1" x14ac:dyDescent="0.25">
      <c r="A1737" s="15"/>
      <c r="B1737" s="24" t="s">
        <v>1061</v>
      </c>
      <c r="C1737" s="17">
        <v>115</v>
      </c>
      <c r="D1737" s="17">
        <v>87944</v>
      </c>
      <c r="E1737" s="17">
        <v>76399</v>
      </c>
      <c r="F1737" s="18">
        <f t="shared" si="572"/>
        <v>0.8687232784499227</v>
      </c>
    </row>
    <row r="1738" spans="1:6" ht="15" hidden="1" customHeight="1" x14ac:dyDescent="0.25">
      <c r="A1738" s="15"/>
      <c r="B1738" s="24" t="s">
        <v>1062</v>
      </c>
      <c r="C1738" s="16">
        <v>28755</v>
      </c>
      <c r="D1738" s="16">
        <v>28755</v>
      </c>
      <c r="E1738" s="17"/>
      <c r="F1738" s="18">
        <f t="shared" si="572"/>
        <v>0</v>
      </c>
    </row>
    <row r="1739" spans="1:6" ht="15" hidden="1" customHeight="1" x14ac:dyDescent="0.25">
      <c r="A1739" s="15"/>
      <c r="B1739" s="24" t="s">
        <v>1063</v>
      </c>
      <c r="C1739" s="16">
        <v>21486</v>
      </c>
      <c r="D1739" s="16">
        <v>21486</v>
      </c>
      <c r="E1739" s="17"/>
      <c r="F1739" s="18">
        <f t="shared" si="572"/>
        <v>0</v>
      </c>
    </row>
    <row r="1740" spans="1:6" ht="15" hidden="1" customHeight="1" x14ac:dyDescent="0.25">
      <c r="A1740" s="15"/>
      <c r="B1740" s="24" t="s">
        <v>1064</v>
      </c>
      <c r="C1740" s="16">
        <v>20389</v>
      </c>
      <c r="D1740" s="16">
        <v>20389</v>
      </c>
      <c r="E1740" s="17"/>
      <c r="F1740" s="18">
        <f t="shared" si="572"/>
        <v>0</v>
      </c>
    </row>
    <row r="1741" spans="1:6" ht="23.1" customHeight="1" x14ac:dyDescent="0.25">
      <c r="A1741" s="22"/>
      <c r="B1741" s="22" t="s">
        <v>1065</v>
      </c>
      <c r="C1741" s="12">
        <f t="shared" ref="C1741" si="585">SUM(C1743+C1747+C1756)</f>
        <v>1774</v>
      </c>
      <c r="D1741" s="12">
        <f t="shared" ref="D1741" si="586">SUM(D1743+D1747+D1756)</f>
        <v>1471819</v>
      </c>
      <c r="E1741" s="14">
        <f>SUM(E1743+E1747+E1756)</f>
        <v>1158376</v>
      </c>
      <c r="F1741" s="13">
        <f t="shared" si="572"/>
        <v>0.78703699299981855</v>
      </c>
    </row>
    <row r="1742" spans="1:6" ht="23.1" customHeight="1" x14ac:dyDescent="0.25">
      <c r="A1742" s="22"/>
      <c r="B1742" s="22" t="s">
        <v>22</v>
      </c>
      <c r="C1742" s="14"/>
      <c r="D1742" s="14"/>
      <c r="E1742" s="14"/>
      <c r="F1742" s="18"/>
    </row>
    <row r="1743" spans="1:6" ht="23.1" customHeight="1" x14ac:dyDescent="0.25">
      <c r="A1743" s="22"/>
      <c r="B1743" s="22" t="s">
        <v>23</v>
      </c>
      <c r="C1743" s="12">
        <f t="shared" ref="C1743" si="587">SUM(C1744:C1746)</f>
        <v>288</v>
      </c>
      <c r="D1743" s="12">
        <f t="shared" ref="D1743" si="588">SUM(D1744:D1746)</f>
        <v>239675</v>
      </c>
      <c r="E1743" s="14">
        <f>SUM(E1744:E1746)</f>
        <v>190343</v>
      </c>
      <c r="F1743" s="13">
        <f t="shared" ref="F1743:F1754" si="589">SUM(E1743/D1743)</f>
        <v>0.79417127359966622</v>
      </c>
    </row>
    <row r="1744" spans="1:6" ht="15" customHeight="1" x14ac:dyDescent="0.25">
      <c r="A1744" s="15">
        <v>1</v>
      </c>
      <c r="B1744" s="15" t="s">
        <v>1066</v>
      </c>
      <c r="C1744" s="20">
        <v>66</v>
      </c>
      <c r="D1744" s="20">
        <v>50818</v>
      </c>
      <c r="E1744" s="17">
        <v>39618</v>
      </c>
      <c r="F1744" s="18">
        <f t="shared" si="589"/>
        <v>0.77960565154079264</v>
      </c>
    </row>
    <row r="1745" spans="1:6" ht="15" customHeight="1" x14ac:dyDescent="0.25">
      <c r="A1745" s="15">
        <v>2</v>
      </c>
      <c r="B1745" s="15" t="s">
        <v>138</v>
      </c>
      <c r="C1745" s="20">
        <v>84</v>
      </c>
      <c r="D1745" s="20">
        <v>71060</v>
      </c>
      <c r="E1745" s="17">
        <v>55789</v>
      </c>
      <c r="F1745" s="18">
        <f t="shared" si="589"/>
        <v>0.78509710104137354</v>
      </c>
    </row>
    <row r="1746" spans="1:6" ht="15" customHeight="1" x14ac:dyDescent="0.25">
      <c r="A1746" s="15"/>
      <c r="B1746" s="24" t="s">
        <v>1492</v>
      </c>
      <c r="C1746" s="20">
        <v>138</v>
      </c>
      <c r="D1746" s="20">
        <v>117797</v>
      </c>
      <c r="E1746" s="17">
        <v>94936</v>
      </c>
      <c r="F1746" s="18">
        <f t="shared" si="589"/>
        <v>0.80592884368871875</v>
      </c>
    </row>
    <row r="1747" spans="1:6" ht="23.1" customHeight="1" x14ac:dyDescent="0.25">
      <c r="A1747" s="22"/>
      <c r="B1747" s="22" t="s">
        <v>39</v>
      </c>
      <c r="C1747" s="12">
        <f>SUM(C1748:C1754)</f>
        <v>313</v>
      </c>
      <c r="D1747" s="12">
        <f>SUM(D1748:D1754)</f>
        <v>225552</v>
      </c>
      <c r="E1747" s="14">
        <f>SUM(E1748:E1754)</f>
        <v>190796</v>
      </c>
      <c r="F1747" s="13">
        <f t="shared" si="589"/>
        <v>0.8459069305525998</v>
      </c>
    </row>
    <row r="1748" spans="1:6" ht="15" customHeight="1" x14ac:dyDescent="0.25">
      <c r="A1748" s="15">
        <v>1</v>
      </c>
      <c r="B1748" s="15" t="s">
        <v>306</v>
      </c>
      <c r="C1748" s="20">
        <v>50</v>
      </c>
      <c r="D1748" s="20">
        <v>38009</v>
      </c>
      <c r="E1748" s="17">
        <v>32508</v>
      </c>
      <c r="F1748" s="18">
        <f t="shared" si="589"/>
        <v>0.85527111999789529</v>
      </c>
    </row>
    <row r="1749" spans="1:6" ht="15" customHeight="1" x14ac:dyDescent="0.25">
      <c r="A1749" s="15">
        <v>2</v>
      </c>
      <c r="B1749" s="15" t="s">
        <v>1070</v>
      </c>
      <c r="C1749" s="20">
        <v>45</v>
      </c>
      <c r="D1749" s="20">
        <v>29957</v>
      </c>
      <c r="E1749" s="17">
        <v>26167</v>
      </c>
      <c r="F1749" s="18">
        <f t="shared" si="589"/>
        <v>0.87348532897152587</v>
      </c>
    </row>
    <row r="1750" spans="1:6" ht="15" customHeight="1" x14ac:dyDescent="0.25">
      <c r="A1750" s="15">
        <v>3</v>
      </c>
      <c r="B1750" s="15" t="s">
        <v>503</v>
      </c>
      <c r="C1750" s="20">
        <v>53</v>
      </c>
      <c r="D1750" s="20">
        <v>40313</v>
      </c>
      <c r="E1750" s="17">
        <v>32235</v>
      </c>
      <c r="F1750" s="18">
        <f t="shared" si="589"/>
        <v>0.7996179892342421</v>
      </c>
    </row>
    <row r="1751" spans="1:6" ht="15" customHeight="1" x14ac:dyDescent="0.25">
      <c r="A1751" s="15">
        <v>4</v>
      </c>
      <c r="B1751" s="15" t="s">
        <v>1071</v>
      </c>
      <c r="C1751" s="20">
        <v>36</v>
      </c>
      <c r="D1751" s="20">
        <v>26106</v>
      </c>
      <c r="E1751" s="17">
        <v>22025</v>
      </c>
      <c r="F1751" s="18">
        <f t="shared" si="589"/>
        <v>0.84367578334482496</v>
      </c>
    </row>
    <row r="1752" spans="1:6" ht="15" customHeight="1" x14ac:dyDescent="0.25">
      <c r="A1752" s="15">
        <v>5</v>
      </c>
      <c r="B1752" s="15" t="s">
        <v>1067</v>
      </c>
      <c r="C1752" s="20">
        <v>59</v>
      </c>
      <c r="D1752" s="20">
        <v>41053</v>
      </c>
      <c r="E1752" s="17">
        <v>35759</v>
      </c>
      <c r="F1752" s="18">
        <f t="shared" si="589"/>
        <v>0.87104474703432144</v>
      </c>
    </row>
    <row r="1753" spans="1:6" ht="15" customHeight="1" x14ac:dyDescent="0.25">
      <c r="A1753" s="15">
        <v>6</v>
      </c>
      <c r="B1753" s="15" t="s">
        <v>1068</v>
      </c>
      <c r="C1753" s="20">
        <v>30</v>
      </c>
      <c r="D1753" s="20">
        <v>22802</v>
      </c>
      <c r="E1753" s="17">
        <v>19125</v>
      </c>
      <c r="F1753" s="18">
        <f t="shared" si="589"/>
        <v>0.83874221559512319</v>
      </c>
    </row>
    <row r="1754" spans="1:6" ht="15" customHeight="1" x14ac:dyDescent="0.25">
      <c r="A1754" s="15">
        <v>7</v>
      </c>
      <c r="B1754" s="15" t="s">
        <v>1073</v>
      </c>
      <c r="C1754" s="20">
        <v>40</v>
      </c>
      <c r="D1754" s="20">
        <v>27312</v>
      </c>
      <c r="E1754" s="17">
        <v>22977</v>
      </c>
      <c r="F1754" s="18">
        <f t="shared" si="589"/>
        <v>0.84127855887521963</v>
      </c>
    </row>
    <row r="1755" spans="1:6" ht="23.1" customHeight="1" x14ac:dyDescent="0.25">
      <c r="A1755" s="22"/>
      <c r="B1755" s="22" t="s">
        <v>1074</v>
      </c>
      <c r="C1755" s="21"/>
      <c r="D1755" s="21"/>
      <c r="E1755" s="21"/>
      <c r="F1755" s="18"/>
    </row>
    <row r="1756" spans="1:6" ht="15" customHeight="1" x14ac:dyDescent="0.25">
      <c r="A1756" s="15"/>
      <c r="B1756" s="24" t="s">
        <v>1493</v>
      </c>
      <c r="C1756" s="14">
        <f t="shared" ref="C1756" si="590">SUM(C1757:C1759)</f>
        <v>1173</v>
      </c>
      <c r="D1756" s="14">
        <f t="shared" ref="D1756:E1756" si="591">SUM(D1757:D1759)</f>
        <v>1006592</v>
      </c>
      <c r="E1756" s="14">
        <f t="shared" si="591"/>
        <v>777237</v>
      </c>
      <c r="F1756" s="13">
        <f t="shared" ref="F1756:F1774" si="592">SUM(E1756/D1756)</f>
        <v>0.77214700693031535</v>
      </c>
    </row>
    <row r="1757" spans="1:6" ht="15" customHeight="1" x14ac:dyDescent="0.25">
      <c r="A1757" s="23"/>
      <c r="B1757" s="23" t="s">
        <v>6</v>
      </c>
      <c r="C1757" s="20">
        <v>418</v>
      </c>
      <c r="D1757" s="20">
        <v>366439</v>
      </c>
      <c r="E1757" s="17">
        <v>266574</v>
      </c>
      <c r="F1757" s="18">
        <f t="shared" si="592"/>
        <v>0.72747169378805199</v>
      </c>
    </row>
    <row r="1758" spans="1:6" ht="15" customHeight="1" x14ac:dyDescent="0.25">
      <c r="A1758" s="15"/>
      <c r="B1758" s="15" t="s">
        <v>7</v>
      </c>
      <c r="C1758" s="20">
        <v>385</v>
      </c>
      <c r="D1758" s="20">
        <v>332318</v>
      </c>
      <c r="E1758" s="17">
        <v>261350</v>
      </c>
      <c r="F1758" s="18">
        <f t="shared" si="592"/>
        <v>0.78644551303269761</v>
      </c>
    </row>
    <row r="1759" spans="1:6" ht="15" customHeight="1" x14ac:dyDescent="0.25">
      <c r="A1759" s="23"/>
      <c r="B1759" s="23" t="s">
        <v>8</v>
      </c>
      <c r="C1759" s="20">
        <v>370</v>
      </c>
      <c r="D1759" s="20">
        <v>307835</v>
      </c>
      <c r="E1759" s="17">
        <v>249313</v>
      </c>
      <c r="F1759" s="18">
        <f t="shared" si="592"/>
        <v>0.80989166274140367</v>
      </c>
    </row>
    <row r="1760" spans="1:6" ht="23.1" customHeight="1" x14ac:dyDescent="0.25">
      <c r="A1760" s="22"/>
      <c r="B1760" s="22" t="s">
        <v>1075</v>
      </c>
      <c r="C1760" s="14">
        <f>C1761+C1768</f>
        <v>555</v>
      </c>
      <c r="D1760" s="14">
        <f t="shared" ref="D1760:E1760" si="593">D1761+D1768</f>
        <v>433645</v>
      </c>
      <c r="E1760" s="14">
        <f t="shared" si="593"/>
        <v>376419</v>
      </c>
      <c r="F1760" s="13">
        <f t="shared" si="592"/>
        <v>0.86803491335078231</v>
      </c>
    </row>
    <row r="1761" spans="1:6" ht="23.1" customHeight="1" x14ac:dyDescent="0.25">
      <c r="A1761" s="22"/>
      <c r="B1761" s="22" t="s">
        <v>6</v>
      </c>
      <c r="C1761" s="14">
        <f t="shared" ref="C1761" si="594">SUM(C1762:C1767)</f>
        <v>242</v>
      </c>
      <c r="D1761" s="14">
        <f t="shared" ref="D1761:E1761" si="595">SUM(D1762:D1767)</f>
        <v>174878</v>
      </c>
      <c r="E1761" s="14">
        <f t="shared" si="595"/>
        <v>152500</v>
      </c>
      <c r="F1761" s="13">
        <f t="shared" si="592"/>
        <v>0.87203650544951339</v>
      </c>
    </row>
    <row r="1762" spans="1:6" ht="15" customHeight="1" x14ac:dyDescent="0.25">
      <c r="A1762" s="15">
        <v>1</v>
      </c>
      <c r="B1762" s="15" t="s">
        <v>1076</v>
      </c>
      <c r="C1762" s="20">
        <v>56</v>
      </c>
      <c r="D1762" s="20">
        <v>41592</v>
      </c>
      <c r="E1762" s="17">
        <v>37205</v>
      </c>
      <c r="F1762" s="18">
        <f t="shared" si="592"/>
        <v>0.8945229851894595</v>
      </c>
    </row>
    <row r="1763" spans="1:6" ht="15" customHeight="1" x14ac:dyDescent="0.25">
      <c r="A1763" s="15">
        <v>2</v>
      </c>
      <c r="B1763" s="15" t="s">
        <v>1077</v>
      </c>
      <c r="C1763" s="20">
        <v>16</v>
      </c>
      <c r="D1763" s="20">
        <v>11497</v>
      </c>
      <c r="E1763" s="17">
        <v>10267</v>
      </c>
      <c r="F1763" s="18">
        <f t="shared" si="592"/>
        <v>0.89301556927894232</v>
      </c>
    </row>
    <row r="1764" spans="1:6" ht="15" customHeight="1" x14ac:dyDescent="0.25">
      <c r="A1764" s="15">
        <v>3</v>
      </c>
      <c r="B1764" s="15" t="s">
        <v>1078</v>
      </c>
      <c r="C1764" s="20">
        <v>43</v>
      </c>
      <c r="D1764" s="20">
        <v>32350</v>
      </c>
      <c r="E1764" s="17">
        <v>27670</v>
      </c>
      <c r="F1764" s="18">
        <f t="shared" si="592"/>
        <v>0.85533230293663065</v>
      </c>
    </row>
    <row r="1765" spans="1:6" ht="15" customHeight="1" x14ac:dyDescent="0.25">
      <c r="A1765" s="15">
        <v>4</v>
      </c>
      <c r="B1765" s="15" t="s">
        <v>1079</v>
      </c>
      <c r="C1765" s="20">
        <v>47</v>
      </c>
      <c r="D1765" s="20">
        <v>33776</v>
      </c>
      <c r="E1765" s="17">
        <v>28995</v>
      </c>
      <c r="F1765" s="18">
        <f t="shared" si="592"/>
        <v>0.8584497868308858</v>
      </c>
    </row>
    <row r="1766" spans="1:6" ht="15" customHeight="1" x14ac:dyDescent="0.25">
      <c r="A1766" s="15">
        <v>5</v>
      </c>
      <c r="B1766" s="15" t="s">
        <v>1080</v>
      </c>
      <c r="C1766" s="20">
        <v>49</v>
      </c>
      <c r="D1766" s="20">
        <v>30779</v>
      </c>
      <c r="E1766" s="17">
        <v>27074</v>
      </c>
      <c r="F1766" s="18">
        <f t="shared" si="592"/>
        <v>0.8796257188342701</v>
      </c>
    </row>
    <row r="1767" spans="1:6" ht="15" customHeight="1" x14ac:dyDescent="0.25">
      <c r="A1767" s="15">
        <v>6</v>
      </c>
      <c r="B1767" s="15" t="s">
        <v>1081</v>
      </c>
      <c r="C1767" s="20">
        <v>31</v>
      </c>
      <c r="D1767" s="20">
        <v>24884</v>
      </c>
      <c r="E1767" s="17">
        <v>21289</v>
      </c>
      <c r="F1767" s="18">
        <f t="shared" si="592"/>
        <v>0.8555296576113165</v>
      </c>
    </row>
    <row r="1768" spans="1:6" ht="23.1" customHeight="1" x14ac:dyDescent="0.25">
      <c r="A1768" s="22"/>
      <c r="B1768" s="22" t="s">
        <v>7</v>
      </c>
      <c r="C1768" s="14">
        <f t="shared" ref="C1768" si="596">SUM(C1769:C1773)</f>
        <v>313</v>
      </c>
      <c r="D1768" s="14">
        <f t="shared" ref="D1768:E1768" si="597">SUM(D1769:D1773)</f>
        <v>258767</v>
      </c>
      <c r="E1768" s="14">
        <f t="shared" si="597"/>
        <v>223919</v>
      </c>
      <c r="F1768" s="13">
        <f t="shared" si="592"/>
        <v>0.86533058697592813</v>
      </c>
    </row>
    <row r="1769" spans="1:6" ht="15" customHeight="1" x14ac:dyDescent="0.25">
      <c r="A1769" s="15">
        <v>1</v>
      </c>
      <c r="B1769" s="15" t="s">
        <v>1082</v>
      </c>
      <c r="C1769" s="20">
        <v>41</v>
      </c>
      <c r="D1769" s="20">
        <v>33199</v>
      </c>
      <c r="E1769" s="17">
        <v>26833</v>
      </c>
      <c r="F1769" s="18">
        <f t="shared" si="592"/>
        <v>0.80824723636254103</v>
      </c>
    </row>
    <row r="1770" spans="1:6" ht="15" customHeight="1" x14ac:dyDescent="0.25">
      <c r="A1770" s="15">
        <v>2</v>
      </c>
      <c r="B1770" s="15" t="s">
        <v>1083</v>
      </c>
      <c r="C1770" s="20">
        <v>54</v>
      </c>
      <c r="D1770" s="20">
        <v>43170</v>
      </c>
      <c r="E1770" s="17">
        <v>37431</v>
      </c>
      <c r="F1770" s="18">
        <f t="shared" si="592"/>
        <v>0.86706045865184156</v>
      </c>
    </row>
    <row r="1771" spans="1:6" ht="15" customHeight="1" x14ac:dyDescent="0.25">
      <c r="A1771" s="15">
        <v>3</v>
      </c>
      <c r="B1771" s="15" t="s">
        <v>1084</v>
      </c>
      <c r="C1771" s="20">
        <v>64</v>
      </c>
      <c r="D1771" s="20">
        <v>50924</v>
      </c>
      <c r="E1771" s="17">
        <v>43230</v>
      </c>
      <c r="F1771" s="18">
        <f t="shared" si="592"/>
        <v>0.84891210431230857</v>
      </c>
    </row>
    <row r="1772" spans="1:6" ht="15" customHeight="1" x14ac:dyDescent="0.25">
      <c r="A1772" s="15">
        <v>4</v>
      </c>
      <c r="B1772" s="15" t="s">
        <v>35</v>
      </c>
      <c r="C1772" s="20">
        <v>32</v>
      </c>
      <c r="D1772" s="20">
        <v>26631</v>
      </c>
      <c r="E1772" s="17">
        <v>23072</v>
      </c>
      <c r="F1772" s="18">
        <f t="shared" si="592"/>
        <v>0.86635875483459124</v>
      </c>
    </row>
    <row r="1773" spans="1:6" ht="15" customHeight="1" x14ac:dyDescent="0.25">
      <c r="A1773" s="15"/>
      <c r="B1773" s="24" t="s">
        <v>1494</v>
      </c>
      <c r="C1773" s="20">
        <v>122</v>
      </c>
      <c r="D1773" s="20">
        <v>104843</v>
      </c>
      <c r="E1773" s="17">
        <v>93353</v>
      </c>
      <c r="F1773" s="18">
        <f t="shared" si="592"/>
        <v>0.89040756178285629</v>
      </c>
    </row>
    <row r="1774" spans="1:6" ht="23.1" customHeight="1" x14ac:dyDescent="0.25">
      <c r="A1774" s="22"/>
      <c r="B1774" s="22" t="s">
        <v>1253</v>
      </c>
      <c r="C1774" s="12">
        <f t="shared" ref="C1774" si="598">C1776+C1779</f>
        <v>275</v>
      </c>
      <c r="D1774" s="12">
        <f t="shared" ref="D1774:E1774" si="599">D1776+D1779</f>
        <v>205167</v>
      </c>
      <c r="E1774" s="12">
        <f t="shared" si="599"/>
        <v>151376</v>
      </c>
      <c r="F1774" s="13">
        <f t="shared" si="592"/>
        <v>0.73781846008373664</v>
      </c>
    </row>
    <row r="1775" spans="1:6" ht="23.1" customHeight="1" x14ac:dyDescent="0.25">
      <c r="A1775" s="22"/>
      <c r="B1775" s="22" t="s">
        <v>22</v>
      </c>
      <c r="C1775" s="14"/>
      <c r="D1775" s="14"/>
      <c r="E1775" s="14"/>
      <c r="F1775" s="18"/>
    </row>
    <row r="1776" spans="1:6" ht="23.1" customHeight="1" x14ac:dyDescent="0.25">
      <c r="A1776" s="22"/>
      <c r="B1776" s="22" t="s">
        <v>23</v>
      </c>
      <c r="C1776" s="12">
        <f t="shared" ref="C1776" si="600">SUM(C1777:C1778)</f>
        <v>148</v>
      </c>
      <c r="D1776" s="12">
        <f t="shared" ref="D1776:E1776" si="601">SUM(D1777:D1778)</f>
        <v>110099</v>
      </c>
      <c r="E1776" s="12">
        <f t="shared" si="601"/>
        <v>83049</v>
      </c>
      <c r="F1776" s="13">
        <f t="shared" ref="F1776" si="602">SUM(E1776/D1776)</f>
        <v>0.75431202826547017</v>
      </c>
    </row>
    <row r="1777" spans="1:6" ht="15" customHeight="1" x14ac:dyDescent="0.25">
      <c r="A1777" s="15">
        <v>1</v>
      </c>
      <c r="B1777" s="15" t="s">
        <v>1072</v>
      </c>
      <c r="C1777" s="20">
        <v>99</v>
      </c>
      <c r="D1777" s="20">
        <v>74037</v>
      </c>
      <c r="E1777" s="17">
        <v>53425</v>
      </c>
      <c r="F1777" s="18">
        <f t="shared" ref="F1777:F1806" si="603">SUM(E1777/D1777)</f>
        <v>0.72159866012939478</v>
      </c>
    </row>
    <row r="1778" spans="1:6" ht="15" customHeight="1" x14ac:dyDescent="0.25">
      <c r="A1778" s="15">
        <v>2</v>
      </c>
      <c r="B1778" s="15" t="s">
        <v>140</v>
      </c>
      <c r="C1778" s="20">
        <v>49</v>
      </c>
      <c r="D1778" s="20">
        <v>36062</v>
      </c>
      <c r="E1778" s="17">
        <v>29624</v>
      </c>
      <c r="F1778" s="18">
        <f t="shared" si="603"/>
        <v>0.82147412789085461</v>
      </c>
    </row>
    <row r="1779" spans="1:6" ht="23.1" customHeight="1" x14ac:dyDescent="0.25">
      <c r="A1779" s="22"/>
      <c r="B1779" s="22" t="s">
        <v>39</v>
      </c>
      <c r="C1779" s="12">
        <f t="shared" ref="C1779" si="604">SUM(C1780:C1782)</f>
        <v>127</v>
      </c>
      <c r="D1779" s="12">
        <f t="shared" ref="D1779:E1779" si="605">SUM(D1780:D1782)</f>
        <v>95068</v>
      </c>
      <c r="E1779" s="12">
        <f t="shared" si="605"/>
        <v>68327</v>
      </c>
      <c r="F1779" s="13">
        <f t="shared" si="603"/>
        <v>0.71871712879202254</v>
      </c>
    </row>
    <row r="1780" spans="1:6" ht="15" customHeight="1" x14ac:dyDescent="0.25">
      <c r="A1780" s="15">
        <v>1</v>
      </c>
      <c r="B1780" s="15" t="s">
        <v>1069</v>
      </c>
      <c r="C1780" s="20">
        <v>35</v>
      </c>
      <c r="D1780" s="20">
        <v>25810</v>
      </c>
      <c r="E1780" s="17">
        <v>20736</v>
      </c>
      <c r="F1780" s="18">
        <f t="shared" si="603"/>
        <v>0.80340953118946146</v>
      </c>
    </row>
    <row r="1781" spans="1:6" ht="15" customHeight="1" x14ac:dyDescent="0.25">
      <c r="A1781" s="15">
        <v>2</v>
      </c>
      <c r="B1781" s="15" t="s">
        <v>1495</v>
      </c>
      <c r="C1781" s="20">
        <v>69</v>
      </c>
      <c r="D1781" s="20">
        <v>52136</v>
      </c>
      <c r="E1781" s="17">
        <v>35891</v>
      </c>
      <c r="F1781" s="18">
        <f t="shared" si="603"/>
        <v>0.6884110787172012</v>
      </c>
    </row>
    <row r="1782" spans="1:6" ht="15" customHeight="1" x14ac:dyDescent="0.25">
      <c r="A1782" s="15">
        <v>3</v>
      </c>
      <c r="B1782" s="15" t="s">
        <v>1273</v>
      </c>
      <c r="C1782" s="20">
        <v>23</v>
      </c>
      <c r="D1782" s="20">
        <v>17122</v>
      </c>
      <c r="E1782" s="17">
        <v>11700</v>
      </c>
      <c r="F1782" s="18">
        <f t="shared" si="603"/>
        <v>0.68333138652026637</v>
      </c>
    </row>
    <row r="1783" spans="1:6" ht="23.1" customHeight="1" x14ac:dyDescent="0.25">
      <c r="A1783" s="140" t="s">
        <v>1085</v>
      </c>
      <c r="B1783" s="140"/>
      <c r="C1783" s="14">
        <f>SUM(C1784+C1817+C1806+C1834)</f>
        <v>3492</v>
      </c>
      <c r="D1783" s="14">
        <f>SUM(D1784+D1817+D1806+D1834)</f>
        <v>2701992</v>
      </c>
      <c r="E1783" s="14">
        <f>SUM(E1784+E1817+E1806+E1834)</f>
        <v>2200890</v>
      </c>
      <c r="F1783" s="13">
        <f t="shared" si="603"/>
        <v>0.81454349235675017</v>
      </c>
    </row>
    <row r="1784" spans="1:6" ht="23.1" customHeight="1" x14ac:dyDescent="0.25">
      <c r="A1784" s="22"/>
      <c r="B1784" s="22" t="s">
        <v>1542</v>
      </c>
      <c r="C1784" s="14">
        <f t="shared" ref="C1784" si="606">SUM(C1785+C1792+C1799)</f>
        <v>1073</v>
      </c>
      <c r="D1784" s="14">
        <f t="shared" ref="D1784:E1784" si="607">SUM(D1785+D1792+D1799)</f>
        <v>797609</v>
      </c>
      <c r="E1784" s="14">
        <f t="shared" si="607"/>
        <v>674841</v>
      </c>
      <c r="F1784" s="13">
        <f t="shared" si="603"/>
        <v>0.84607997151486503</v>
      </c>
    </row>
    <row r="1785" spans="1:6" ht="23.1" customHeight="1" x14ac:dyDescent="0.25">
      <c r="A1785" s="22"/>
      <c r="B1785" s="22" t="s">
        <v>6</v>
      </c>
      <c r="C1785" s="14">
        <f t="shared" ref="C1785" si="608">SUM(C1786:C1791)</f>
        <v>327</v>
      </c>
      <c r="D1785" s="14">
        <f t="shared" ref="D1785:E1785" si="609">SUM(D1786:D1791)</f>
        <v>246037</v>
      </c>
      <c r="E1785" s="14">
        <f t="shared" si="609"/>
        <v>206463</v>
      </c>
      <c r="F1785" s="13">
        <f t="shared" si="603"/>
        <v>0.83915427354422301</v>
      </c>
    </row>
    <row r="1786" spans="1:6" ht="15" customHeight="1" x14ac:dyDescent="0.25">
      <c r="A1786" s="15">
        <v>1</v>
      </c>
      <c r="B1786" s="15" t="s">
        <v>1086</v>
      </c>
      <c r="C1786" s="42">
        <v>58</v>
      </c>
      <c r="D1786" s="42">
        <v>43395</v>
      </c>
      <c r="E1786" s="17">
        <v>35713</v>
      </c>
      <c r="F1786" s="18">
        <f t="shared" si="603"/>
        <v>0.82297499711948385</v>
      </c>
    </row>
    <row r="1787" spans="1:6" ht="15" customHeight="1" x14ac:dyDescent="0.25">
      <c r="A1787" s="15">
        <v>2</v>
      </c>
      <c r="B1787" s="15" t="s">
        <v>1087</v>
      </c>
      <c r="C1787" s="43">
        <v>28</v>
      </c>
      <c r="D1787" s="43">
        <v>23645</v>
      </c>
      <c r="E1787" s="17">
        <v>19266</v>
      </c>
      <c r="F1787" s="18">
        <f t="shared" si="603"/>
        <v>0.81480228378092623</v>
      </c>
    </row>
    <row r="1788" spans="1:6" ht="15" customHeight="1" x14ac:dyDescent="0.25">
      <c r="A1788" s="15">
        <v>3</v>
      </c>
      <c r="B1788" s="15" t="s">
        <v>1088</v>
      </c>
      <c r="C1788" s="42">
        <v>49</v>
      </c>
      <c r="D1788" s="42">
        <v>36630</v>
      </c>
      <c r="E1788" s="17">
        <v>30799</v>
      </c>
      <c r="F1788" s="18">
        <f t="shared" si="603"/>
        <v>0.84081354081354076</v>
      </c>
    </row>
    <row r="1789" spans="1:6" ht="15" customHeight="1" x14ac:dyDescent="0.25">
      <c r="A1789" s="15">
        <v>4</v>
      </c>
      <c r="B1789" s="15" t="s">
        <v>1089</v>
      </c>
      <c r="C1789" s="43">
        <v>97</v>
      </c>
      <c r="D1789" s="43">
        <v>70866</v>
      </c>
      <c r="E1789" s="17">
        <v>58895</v>
      </c>
      <c r="F1789" s="18">
        <f t="shared" si="603"/>
        <v>0.83107555103999098</v>
      </c>
    </row>
    <row r="1790" spans="1:6" ht="15" customHeight="1" x14ac:dyDescent="0.25">
      <c r="A1790" s="15">
        <v>5</v>
      </c>
      <c r="B1790" s="15" t="s">
        <v>1090</v>
      </c>
      <c r="C1790" s="43">
        <v>45</v>
      </c>
      <c r="D1790" s="43">
        <v>34445</v>
      </c>
      <c r="E1790" s="17">
        <v>29366</v>
      </c>
      <c r="F1790" s="18">
        <f t="shared" si="603"/>
        <v>0.85254753955581364</v>
      </c>
    </row>
    <row r="1791" spans="1:6" ht="15" customHeight="1" x14ac:dyDescent="0.25">
      <c r="A1791" s="15">
        <v>6</v>
      </c>
      <c r="B1791" s="15" t="s">
        <v>1091</v>
      </c>
      <c r="C1791" s="43">
        <v>50</v>
      </c>
      <c r="D1791" s="43">
        <v>37056</v>
      </c>
      <c r="E1791" s="17">
        <v>32424</v>
      </c>
      <c r="F1791" s="18">
        <f t="shared" si="603"/>
        <v>0.875</v>
      </c>
    </row>
    <row r="1792" spans="1:6" ht="23.1" customHeight="1" x14ac:dyDescent="0.25">
      <c r="A1792" s="22"/>
      <c r="B1792" s="22" t="s">
        <v>7</v>
      </c>
      <c r="C1792" s="14">
        <f t="shared" ref="C1792" si="610">SUM(C1793:C1798)</f>
        <v>378</v>
      </c>
      <c r="D1792" s="14">
        <f t="shared" ref="D1792:E1792" si="611">SUM(D1793:D1798)</f>
        <v>276804</v>
      </c>
      <c r="E1792" s="14">
        <f t="shared" si="611"/>
        <v>234797</v>
      </c>
      <c r="F1792" s="13">
        <f t="shared" si="603"/>
        <v>0.84824279995953811</v>
      </c>
    </row>
    <row r="1793" spans="1:6" ht="15" customHeight="1" x14ac:dyDescent="0.25">
      <c r="A1793" s="15">
        <v>1</v>
      </c>
      <c r="B1793" s="15" t="s">
        <v>1092</v>
      </c>
      <c r="C1793" s="42">
        <v>24</v>
      </c>
      <c r="D1793" s="42">
        <v>17871</v>
      </c>
      <c r="E1793" s="17">
        <v>15538</v>
      </c>
      <c r="F1793" s="18">
        <f t="shared" si="603"/>
        <v>0.86945330423591294</v>
      </c>
    </row>
    <row r="1794" spans="1:6" ht="15" customHeight="1" x14ac:dyDescent="0.25">
      <c r="A1794" s="15">
        <v>2</v>
      </c>
      <c r="B1794" s="15" t="s">
        <v>1093</v>
      </c>
      <c r="C1794" s="42">
        <v>45</v>
      </c>
      <c r="D1794" s="42">
        <v>32556</v>
      </c>
      <c r="E1794" s="17">
        <v>26879</v>
      </c>
      <c r="F1794" s="18">
        <f t="shared" si="603"/>
        <v>0.8256235409755498</v>
      </c>
    </row>
    <row r="1795" spans="1:6" ht="15" customHeight="1" x14ac:dyDescent="0.25">
      <c r="A1795" s="15">
        <v>3</v>
      </c>
      <c r="B1795" s="15" t="s">
        <v>1094</v>
      </c>
      <c r="C1795" s="42">
        <v>54</v>
      </c>
      <c r="D1795" s="42">
        <v>38763</v>
      </c>
      <c r="E1795" s="17">
        <v>33569</v>
      </c>
      <c r="F1795" s="18">
        <f t="shared" si="603"/>
        <v>0.86600624306684204</v>
      </c>
    </row>
    <row r="1796" spans="1:6" ht="15" customHeight="1" x14ac:dyDescent="0.25">
      <c r="A1796" s="15">
        <v>4</v>
      </c>
      <c r="B1796" s="15" t="s">
        <v>1095</v>
      </c>
      <c r="C1796" s="42">
        <v>79</v>
      </c>
      <c r="D1796" s="42">
        <v>58896</v>
      </c>
      <c r="E1796" s="17">
        <v>48796</v>
      </c>
      <c r="F1796" s="18">
        <f t="shared" si="603"/>
        <v>0.82851127411029613</v>
      </c>
    </row>
    <row r="1797" spans="1:6" ht="15" customHeight="1" x14ac:dyDescent="0.25">
      <c r="A1797" s="15">
        <v>5</v>
      </c>
      <c r="B1797" s="15" t="s">
        <v>662</v>
      </c>
      <c r="C1797" s="42">
        <v>48</v>
      </c>
      <c r="D1797" s="42">
        <v>32383</v>
      </c>
      <c r="E1797" s="17">
        <v>26644</v>
      </c>
      <c r="F1797" s="18">
        <f t="shared" si="603"/>
        <v>0.82277738319488625</v>
      </c>
    </row>
    <row r="1798" spans="1:6" ht="15" customHeight="1" x14ac:dyDescent="0.25">
      <c r="A1798" s="15"/>
      <c r="B1798" s="24" t="s">
        <v>1496</v>
      </c>
      <c r="C1798" s="42">
        <v>128</v>
      </c>
      <c r="D1798" s="42">
        <v>96335</v>
      </c>
      <c r="E1798" s="17">
        <v>83371</v>
      </c>
      <c r="F1798" s="18">
        <f t="shared" si="603"/>
        <v>0.86542793377277205</v>
      </c>
    </row>
    <row r="1799" spans="1:6" ht="23.1" customHeight="1" x14ac:dyDescent="0.25">
      <c r="A1799" s="22"/>
      <c r="B1799" s="22" t="s">
        <v>8</v>
      </c>
      <c r="C1799" s="14">
        <f t="shared" ref="C1799" si="612">SUM(C1800:C1805)</f>
        <v>368</v>
      </c>
      <c r="D1799" s="14">
        <f t="shared" ref="D1799:E1799" si="613">SUM(D1800:D1805)</f>
        <v>274768</v>
      </c>
      <c r="E1799" s="14">
        <f t="shared" si="613"/>
        <v>233581</v>
      </c>
      <c r="F1799" s="13">
        <f t="shared" si="603"/>
        <v>0.85010263203866532</v>
      </c>
    </row>
    <row r="1800" spans="1:6" ht="15" customHeight="1" x14ac:dyDescent="0.25">
      <c r="A1800" s="15">
        <v>1</v>
      </c>
      <c r="B1800" s="15" t="s">
        <v>1096</v>
      </c>
      <c r="C1800" s="42">
        <v>39</v>
      </c>
      <c r="D1800" s="42">
        <v>29033</v>
      </c>
      <c r="E1800" s="17">
        <v>24931</v>
      </c>
      <c r="F1800" s="18">
        <f t="shared" si="603"/>
        <v>0.8587124995694555</v>
      </c>
    </row>
    <row r="1801" spans="1:6" ht="15" customHeight="1" x14ac:dyDescent="0.25">
      <c r="A1801" s="15">
        <v>2</v>
      </c>
      <c r="B1801" s="15" t="s">
        <v>757</v>
      </c>
      <c r="C1801" s="43">
        <v>57</v>
      </c>
      <c r="D1801" s="43">
        <v>44392</v>
      </c>
      <c r="E1801" s="17">
        <v>40794</v>
      </c>
      <c r="F1801" s="18">
        <f t="shared" si="603"/>
        <v>0.91894936024508922</v>
      </c>
    </row>
    <row r="1802" spans="1:6" ht="15" customHeight="1" x14ac:dyDescent="0.25">
      <c r="A1802" s="15">
        <v>3</v>
      </c>
      <c r="B1802" s="15" t="s">
        <v>1097</v>
      </c>
      <c r="C1802" s="43">
        <v>61</v>
      </c>
      <c r="D1802" s="43">
        <v>47633</v>
      </c>
      <c r="E1802" s="17">
        <v>41183</v>
      </c>
      <c r="F1802" s="18">
        <f t="shared" si="603"/>
        <v>0.86458967522515906</v>
      </c>
    </row>
    <row r="1803" spans="1:6" ht="15" customHeight="1" x14ac:dyDescent="0.25">
      <c r="A1803" s="15">
        <v>4</v>
      </c>
      <c r="B1803" s="15" t="s">
        <v>1098</v>
      </c>
      <c r="C1803" s="42">
        <v>74</v>
      </c>
      <c r="D1803" s="42">
        <v>50942</v>
      </c>
      <c r="E1803" s="17">
        <v>42318</v>
      </c>
      <c r="F1803" s="18">
        <f t="shared" si="603"/>
        <v>0.83070943425856858</v>
      </c>
    </row>
    <row r="1804" spans="1:6" ht="15" customHeight="1" x14ac:dyDescent="0.25">
      <c r="A1804" s="15">
        <v>5</v>
      </c>
      <c r="B1804" s="15" t="s">
        <v>1099</v>
      </c>
      <c r="C1804" s="42">
        <v>80</v>
      </c>
      <c r="D1804" s="42">
        <v>60644</v>
      </c>
      <c r="E1804" s="17">
        <v>50226</v>
      </c>
      <c r="F1804" s="18">
        <f t="shared" si="603"/>
        <v>0.8282105402018336</v>
      </c>
    </row>
    <row r="1805" spans="1:6" ht="15" customHeight="1" x14ac:dyDescent="0.25">
      <c r="A1805" s="15">
        <v>6</v>
      </c>
      <c r="B1805" s="15" t="s">
        <v>1100</v>
      </c>
      <c r="C1805" s="42">
        <v>57</v>
      </c>
      <c r="D1805" s="42">
        <v>42124</v>
      </c>
      <c r="E1805" s="17">
        <v>34129</v>
      </c>
      <c r="F1805" s="18">
        <f t="shared" si="603"/>
        <v>0.81020320957174052</v>
      </c>
    </row>
    <row r="1806" spans="1:6" ht="23.1" customHeight="1" x14ac:dyDescent="0.25">
      <c r="A1806" s="22"/>
      <c r="B1806" s="22" t="s">
        <v>1101</v>
      </c>
      <c r="C1806" s="14">
        <f t="shared" ref="C1806" si="614">SUM(C1808+C1812)</f>
        <v>490</v>
      </c>
      <c r="D1806" s="14">
        <f t="shared" ref="D1806:E1806" si="615">SUM(D1808+D1812)</f>
        <v>373178</v>
      </c>
      <c r="E1806" s="14">
        <f t="shared" si="615"/>
        <v>284653</v>
      </c>
      <c r="F1806" s="13">
        <f t="shared" si="603"/>
        <v>0.76278076413936513</v>
      </c>
    </row>
    <row r="1807" spans="1:6" ht="23.1" customHeight="1" x14ac:dyDescent="0.25">
      <c r="A1807" s="22"/>
      <c r="B1807" s="22" t="s">
        <v>22</v>
      </c>
      <c r="C1807" s="14"/>
      <c r="D1807" s="14"/>
      <c r="E1807" s="14"/>
      <c r="F1807" s="18"/>
    </row>
    <row r="1808" spans="1:6" ht="23.1" customHeight="1" x14ac:dyDescent="0.25">
      <c r="A1808" s="22"/>
      <c r="B1808" s="22" t="s">
        <v>23</v>
      </c>
      <c r="C1808" s="14">
        <f t="shared" ref="C1808" si="616">SUM(C1809:C1811)</f>
        <v>153</v>
      </c>
      <c r="D1808" s="14">
        <f t="shared" ref="D1808:E1808" si="617">SUM(D1809:D1811)</f>
        <v>114043</v>
      </c>
      <c r="E1808" s="14">
        <f t="shared" si="617"/>
        <v>93468</v>
      </c>
      <c r="F1808" s="13">
        <f t="shared" ref="F1808:F1841" si="618">SUM(E1808/D1808)</f>
        <v>0.81958559490718408</v>
      </c>
    </row>
    <row r="1809" spans="1:6" ht="15" customHeight="1" x14ac:dyDescent="0.25">
      <c r="A1809" s="15">
        <v>1</v>
      </c>
      <c r="B1809" s="15" t="s">
        <v>1309</v>
      </c>
      <c r="C1809" s="20">
        <v>53</v>
      </c>
      <c r="D1809" s="20">
        <v>40377</v>
      </c>
      <c r="E1809" s="17">
        <v>33066</v>
      </c>
      <c r="F1809" s="18">
        <f t="shared" si="618"/>
        <v>0.81893156995319116</v>
      </c>
    </row>
    <row r="1810" spans="1:6" ht="15" customHeight="1" x14ac:dyDescent="0.25">
      <c r="A1810" s="15">
        <v>2</v>
      </c>
      <c r="B1810" s="15" t="s">
        <v>1102</v>
      </c>
      <c r="C1810" s="20">
        <v>60</v>
      </c>
      <c r="D1810" s="20">
        <v>43839</v>
      </c>
      <c r="E1810" s="17">
        <v>37290</v>
      </c>
      <c r="F1810" s="18">
        <f t="shared" si="618"/>
        <v>0.85061246835009918</v>
      </c>
    </row>
    <row r="1811" spans="1:6" ht="15" customHeight="1" x14ac:dyDescent="0.25">
      <c r="A1811" s="15">
        <v>3</v>
      </c>
      <c r="B1811" s="15" t="s">
        <v>1279</v>
      </c>
      <c r="C1811" s="20">
        <v>40</v>
      </c>
      <c r="D1811" s="20">
        <v>29827</v>
      </c>
      <c r="E1811" s="17">
        <v>23112</v>
      </c>
      <c r="F1811" s="18">
        <f t="shared" si="618"/>
        <v>0.77486840781841959</v>
      </c>
    </row>
    <row r="1812" spans="1:6" ht="23.1" customHeight="1" x14ac:dyDescent="0.25">
      <c r="A1812" s="22"/>
      <c r="B1812" s="22" t="s">
        <v>39</v>
      </c>
      <c r="C1812" s="14">
        <f t="shared" ref="C1812" si="619">SUM(C1813:C1816)</f>
        <v>337</v>
      </c>
      <c r="D1812" s="14">
        <f t="shared" ref="D1812:E1812" si="620">SUM(D1813:D1816)</f>
        <v>259135</v>
      </c>
      <c r="E1812" s="14">
        <f t="shared" si="620"/>
        <v>191185</v>
      </c>
      <c r="F1812" s="13">
        <f t="shared" si="618"/>
        <v>0.73778146525942079</v>
      </c>
    </row>
    <row r="1813" spans="1:6" ht="15" customHeight="1" x14ac:dyDescent="0.25">
      <c r="A1813" s="15">
        <v>1</v>
      </c>
      <c r="B1813" s="15" t="s">
        <v>1497</v>
      </c>
      <c r="C1813" s="20">
        <v>74</v>
      </c>
      <c r="D1813" s="20">
        <v>59895</v>
      </c>
      <c r="E1813" s="17">
        <v>49914</v>
      </c>
      <c r="F1813" s="18">
        <f t="shared" si="618"/>
        <v>0.83335837716003003</v>
      </c>
    </row>
    <row r="1814" spans="1:6" ht="15" customHeight="1" x14ac:dyDescent="0.25">
      <c r="A1814" s="15">
        <v>2</v>
      </c>
      <c r="B1814" s="15" t="s">
        <v>1103</v>
      </c>
      <c r="C1814" s="20">
        <v>110</v>
      </c>
      <c r="D1814" s="20">
        <v>80443</v>
      </c>
      <c r="E1814" s="17">
        <v>50295</v>
      </c>
      <c r="F1814" s="18">
        <f t="shared" si="618"/>
        <v>0.62522531481918875</v>
      </c>
    </row>
    <row r="1815" spans="1:6" ht="15" customHeight="1" x14ac:dyDescent="0.25">
      <c r="A1815" s="15">
        <v>3</v>
      </c>
      <c r="B1815" s="15" t="s">
        <v>1104</v>
      </c>
      <c r="C1815" s="20">
        <v>57</v>
      </c>
      <c r="D1815" s="20">
        <v>47752</v>
      </c>
      <c r="E1815" s="17">
        <v>36139</v>
      </c>
      <c r="F1815" s="18">
        <f t="shared" si="618"/>
        <v>0.75680599765454848</v>
      </c>
    </row>
    <row r="1816" spans="1:6" ht="15" customHeight="1" x14ac:dyDescent="0.25">
      <c r="A1816" s="15">
        <v>4</v>
      </c>
      <c r="B1816" s="15" t="s">
        <v>1105</v>
      </c>
      <c r="C1816" s="20">
        <v>96</v>
      </c>
      <c r="D1816" s="20">
        <v>71045</v>
      </c>
      <c r="E1816" s="17">
        <v>54837</v>
      </c>
      <c r="F1816" s="18">
        <f t="shared" si="618"/>
        <v>0.77186290379337041</v>
      </c>
    </row>
    <row r="1817" spans="1:6" ht="23.1" customHeight="1" x14ac:dyDescent="0.25">
      <c r="A1817" s="22"/>
      <c r="B1817" s="22" t="s">
        <v>1106</v>
      </c>
      <c r="C1817" s="14">
        <f>SUM(C1818+C1822+C1826+C1833)</f>
        <v>1226</v>
      </c>
      <c r="D1817" s="14">
        <f t="shared" ref="D1817:E1817" si="621">SUM(D1818+D1822+D1826+D1833)</f>
        <v>997821</v>
      </c>
      <c r="E1817" s="14">
        <f t="shared" si="621"/>
        <v>812184</v>
      </c>
      <c r="F1817" s="13">
        <f t="shared" si="618"/>
        <v>0.81395761364012187</v>
      </c>
    </row>
    <row r="1818" spans="1:6" ht="23.1" customHeight="1" x14ac:dyDescent="0.25">
      <c r="A1818" s="22"/>
      <c r="B1818" s="22" t="s">
        <v>6</v>
      </c>
      <c r="C1818" s="14">
        <f>SUM(C1819:C1821)</f>
        <v>245</v>
      </c>
      <c r="D1818" s="14">
        <f t="shared" ref="D1818:E1818" si="622">SUM(D1819:D1821)</f>
        <v>195438</v>
      </c>
      <c r="E1818" s="14">
        <f t="shared" si="622"/>
        <v>160773</v>
      </c>
      <c r="F1818" s="13">
        <f t="shared" si="618"/>
        <v>0.82262917139962544</v>
      </c>
    </row>
    <row r="1819" spans="1:6" ht="15" customHeight="1" x14ac:dyDescent="0.25">
      <c r="A1819" s="15">
        <v>1</v>
      </c>
      <c r="B1819" s="15" t="s">
        <v>1107</v>
      </c>
      <c r="C1819" s="17">
        <v>141</v>
      </c>
      <c r="D1819" s="17">
        <v>114676</v>
      </c>
      <c r="E1819" s="17">
        <v>96663</v>
      </c>
      <c r="F1819" s="18">
        <f t="shared" si="618"/>
        <v>0.84292266908507452</v>
      </c>
    </row>
    <row r="1820" spans="1:6" ht="15" customHeight="1" x14ac:dyDescent="0.25">
      <c r="A1820" s="15">
        <v>2</v>
      </c>
      <c r="B1820" s="15" t="s">
        <v>1278</v>
      </c>
      <c r="C1820" s="17">
        <v>38</v>
      </c>
      <c r="D1820" s="17">
        <v>30461</v>
      </c>
      <c r="E1820" s="17">
        <v>25178</v>
      </c>
      <c r="F1820" s="18">
        <f t="shared" si="618"/>
        <v>0.82656511605003113</v>
      </c>
    </row>
    <row r="1821" spans="1:6" ht="15" customHeight="1" x14ac:dyDescent="0.25">
      <c r="A1821" s="15">
        <v>3</v>
      </c>
      <c r="B1821" s="15" t="s">
        <v>1108</v>
      </c>
      <c r="C1821" s="17">
        <v>66</v>
      </c>
      <c r="D1821" s="17">
        <v>50301</v>
      </c>
      <c r="E1821" s="17">
        <v>38932</v>
      </c>
      <c r="F1821" s="18">
        <f t="shared" si="618"/>
        <v>0.77398063656786142</v>
      </c>
    </row>
    <row r="1822" spans="1:6" ht="23.1" customHeight="1" x14ac:dyDescent="0.25">
      <c r="A1822" s="22"/>
      <c r="B1822" s="22" t="s">
        <v>7</v>
      </c>
      <c r="C1822" s="14">
        <f>SUM(C1823:C1825)</f>
        <v>256</v>
      </c>
      <c r="D1822" s="14">
        <f t="shared" ref="D1822:E1822" si="623">SUM(D1823:D1825)</f>
        <v>211517</v>
      </c>
      <c r="E1822" s="14">
        <f t="shared" si="623"/>
        <v>183113</v>
      </c>
      <c r="F1822" s="13">
        <f t="shared" si="618"/>
        <v>0.86571292142002776</v>
      </c>
    </row>
    <row r="1823" spans="1:6" ht="15" customHeight="1" x14ac:dyDescent="0.25">
      <c r="A1823" s="15">
        <v>1</v>
      </c>
      <c r="B1823" s="15" t="s">
        <v>628</v>
      </c>
      <c r="C1823" s="17">
        <v>72</v>
      </c>
      <c r="D1823" s="17">
        <v>56428</v>
      </c>
      <c r="E1823" s="17">
        <v>49208</v>
      </c>
      <c r="F1823" s="18">
        <f t="shared" si="618"/>
        <v>0.8720493372084781</v>
      </c>
    </row>
    <row r="1824" spans="1:6" ht="15" customHeight="1" x14ac:dyDescent="0.25">
      <c r="A1824" s="15">
        <v>2</v>
      </c>
      <c r="B1824" s="15" t="s">
        <v>1111</v>
      </c>
      <c r="C1824" s="17">
        <v>37</v>
      </c>
      <c r="D1824" s="17">
        <v>28827</v>
      </c>
      <c r="E1824" s="17">
        <v>25033</v>
      </c>
      <c r="F1824" s="18">
        <f>SUM(E1824/D1824)</f>
        <v>0.86838727581780972</v>
      </c>
    </row>
    <row r="1825" spans="1:6" ht="15" customHeight="1" x14ac:dyDescent="0.25">
      <c r="A1825" s="15"/>
      <c r="B1825" s="24" t="s">
        <v>1499</v>
      </c>
      <c r="C1825" s="17">
        <v>147</v>
      </c>
      <c r="D1825" s="17">
        <v>126262</v>
      </c>
      <c r="E1825" s="17">
        <v>108872</v>
      </c>
      <c r="F1825" s="18">
        <f>SUM(E1825/D1825)</f>
        <v>0.86227051686176359</v>
      </c>
    </row>
    <row r="1826" spans="1:6" ht="23.1" customHeight="1" x14ac:dyDescent="0.25">
      <c r="A1826" s="15"/>
      <c r="B1826" s="22" t="s">
        <v>8</v>
      </c>
      <c r="C1826" s="67">
        <f>SUM(C1827:C1831)</f>
        <v>300</v>
      </c>
      <c r="D1826" s="67">
        <f t="shared" ref="D1826:E1826" si="624">SUM(D1827:D1831)</f>
        <v>222412</v>
      </c>
      <c r="E1826" s="67">
        <f t="shared" si="624"/>
        <v>185302</v>
      </c>
      <c r="F1826" s="13">
        <f>SUM(E1826/D1826)</f>
        <v>0.83314749204179628</v>
      </c>
    </row>
    <row r="1827" spans="1:6" ht="15" customHeight="1" x14ac:dyDescent="0.25">
      <c r="A1827" s="15">
        <v>1</v>
      </c>
      <c r="B1827" s="15" t="s">
        <v>1109</v>
      </c>
      <c r="C1827" s="17">
        <v>73</v>
      </c>
      <c r="D1827" s="17">
        <v>50183</v>
      </c>
      <c r="E1827" s="17">
        <v>39550</v>
      </c>
      <c r="F1827" s="18">
        <f t="shared" si="618"/>
        <v>0.78811549727995533</v>
      </c>
    </row>
    <row r="1828" spans="1:6" ht="15" customHeight="1" x14ac:dyDescent="0.25">
      <c r="A1828" s="15">
        <v>2</v>
      </c>
      <c r="B1828" s="15" t="s">
        <v>1281</v>
      </c>
      <c r="C1828" s="17">
        <v>40</v>
      </c>
      <c r="D1828" s="17">
        <v>30468</v>
      </c>
      <c r="E1828" s="17">
        <v>25784</v>
      </c>
      <c r="F1828" s="18">
        <f t="shared" si="618"/>
        <v>0.84626493370093214</v>
      </c>
    </row>
    <row r="1829" spans="1:6" ht="15" customHeight="1" x14ac:dyDescent="0.25">
      <c r="A1829" s="15">
        <v>3</v>
      </c>
      <c r="B1829" s="15" t="s">
        <v>906</v>
      </c>
      <c r="C1829" s="17">
        <v>33</v>
      </c>
      <c r="D1829" s="17">
        <v>25676</v>
      </c>
      <c r="E1829" s="17">
        <v>21113</v>
      </c>
      <c r="F1829" s="18">
        <f t="shared" si="618"/>
        <v>0.82228540271070261</v>
      </c>
    </row>
    <row r="1830" spans="1:6" ht="15" customHeight="1" x14ac:dyDescent="0.25">
      <c r="A1830" s="15">
        <v>4</v>
      </c>
      <c r="B1830" s="15" t="s">
        <v>1110</v>
      </c>
      <c r="C1830" s="17">
        <v>66</v>
      </c>
      <c r="D1830" s="17">
        <v>56248</v>
      </c>
      <c r="E1830" s="17">
        <v>47468</v>
      </c>
      <c r="F1830" s="18">
        <f t="shared" si="618"/>
        <v>0.84390556108661641</v>
      </c>
    </row>
    <row r="1831" spans="1:6" ht="15" customHeight="1" x14ac:dyDescent="0.25">
      <c r="A1831" s="15">
        <v>5</v>
      </c>
      <c r="B1831" s="15" t="s">
        <v>1112</v>
      </c>
      <c r="C1831" s="17">
        <v>88</v>
      </c>
      <c r="D1831" s="17">
        <v>59837</v>
      </c>
      <c r="E1831" s="17">
        <v>51387</v>
      </c>
      <c r="F1831" s="18">
        <f t="shared" si="618"/>
        <v>0.85878302722395838</v>
      </c>
    </row>
    <row r="1832" spans="1:6" ht="23.1" customHeight="1" x14ac:dyDescent="0.25">
      <c r="A1832" s="15"/>
      <c r="B1832" s="22" t="s">
        <v>22</v>
      </c>
      <c r="C1832" s="17"/>
      <c r="D1832" s="17"/>
      <c r="E1832" s="17"/>
      <c r="F1832" s="18"/>
    </row>
    <row r="1833" spans="1:6" ht="15" customHeight="1" x14ac:dyDescent="0.25">
      <c r="A1833" s="15"/>
      <c r="B1833" s="24" t="s">
        <v>1498</v>
      </c>
      <c r="C1833" s="20">
        <v>425</v>
      </c>
      <c r="D1833" s="20">
        <v>368454</v>
      </c>
      <c r="E1833" s="17">
        <v>282996</v>
      </c>
      <c r="F1833" s="18">
        <f>SUM(E1833/D1833)</f>
        <v>0.76806331319513421</v>
      </c>
    </row>
    <row r="1834" spans="1:6" ht="23.1" customHeight="1" x14ac:dyDescent="0.25">
      <c r="A1834" s="22"/>
      <c r="B1834" s="22" t="s">
        <v>1113</v>
      </c>
      <c r="C1834" s="14">
        <f t="shared" ref="C1834" si="625">SUM(C1835+C1842)</f>
        <v>703</v>
      </c>
      <c r="D1834" s="14">
        <f t="shared" ref="D1834:E1834" si="626">SUM(D1835+D1842)</f>
        <v>533384</v>
      </c>
      <c r="E1834" s="14">
        <f t="shared" si="626"/>
        <v>429212</v>
      </c>
      <c r="F1834" s="13">
        <f t="shared" si="618"/>
        <v>0.80469605387488186</v>
      </c>
    </row>
    <row r="1835" spans="1:6" ht="23.1" customHeight="1" x14ac:dyDescent="0.25">
      <c r="A1835" s="22"/>
      <c r="B1835" s="22" t="s">
        <v>6</v>
      </c>
      <c r="C1835" s="14">
        <f t="shared" ref="C1835" si="627">SUM(C1836:C1841)</f>
        <v>357</v>
      </c>
      <c r="D1835" s="14">
        <f t="shared" ref="D1835:E1835" si="628">SUM(D1836:D1841)</f>
        <v>275693</v>
      </c>
      <c r="E1835" s="14">
        <f t="shared" si="628"/>
        <v>235055</v>
      </c>
      <c r="F1835" s="13">
        <f t="shared" si="618"/>
        <v>0.85259691033141938</v>
      </c>
    </row>
    <row r="1836" spans="1:6" ht="15" customHeight="1" x14ac:dyDescent="0.25">
      <c r="A1836" s="15">
        <v>1</v>
      </c>
      <c r="B1836" s="15" t="s">
        <v>1114</v>
      </c>
      <c r="C1836" s="20">
        <v>31</v>
      </c>
      <c r="D1836" s="20">
        <v>22709</v>
      </c>
      <c r="E1836" s="17">
        <v>17805</v>
      </c>
      <c r="F1836" s="18">
        <f t="shared" si="618"/>
        <v>0.78405037650270815</v>
      </c>
    </row>
    <row r="1837" spans="1:6" ht="15" customHeight="1" x14ac:dyDescent="0.25">
      <c r="A1837" s="15">
        <v>2</v>
      </c>
      <c r="B1837" s="15" t="s">
        <v>1500</v>
      </c>
      <c r="C1837" s="20">
        <v>97</v>
      </c>
      <c r="D1837" s="20">
        <v>73265</v>
      </c>
      <c r="E1837" s="17">
        <v>55735</v>
      </c>
      <c r="F1837" s="18">
        <f t="shared" si="618"/>
        <v>0.76073159080051866</v>
      </c>
    </row>
    <row r="1838" spans="1:6" ht="15" customHeight="1" x14ac:dyDescent="0.25">
      <c r="A1838" s="15">
        <v>3</v>
      </c>
      <c r="B1838" s="15" t="s">
        <v>1501</v>
      </c>
      <c r="C1838" s="20">
        <v>66</v>
      </c>
      <c r="D1838" s="20">
        <v>51726</v>
      </c>
      <c r="E1838" s="17">
        <v>45970</v>
      </c>
      <c r="F1838" s="18">
        <f t="shared" si="618"/>
        <v>0.88872133936511621</v>
      </c>
    </row>
    <row r="1839" spans="1:6" ht="15" customHeight="1" x14ac:dyDescent="0.25">
      <c r="A1839" s="15">
        <v>4</v>
      </c>
      <c r="B1839" s="15" t="s">
        <v>1310</v>
      </c>
      <c r="C1839" s="20">
        <v>46</v>
      </c>
      <c r="D1839" s="20">
        <v>37184</v>
      </c>
      <c r="E1839" s="17">
        <v>36121</v>
      </c>
      <c r="F1839" s="18">
        <f t="shared" si="618"/>
        <v>0.97141243545611011</v>
      </c>
    </row>
    <row r="1840" spans="1:6" ht="15" customHeight="1" x14ac:dyDescent="0.25">
      <c r="A1840" s="15">
        <v>5</v>
      </c>
      <c r="B1840" s="15" t="s">
        <v>1115</v>
      </c>
      <c r="C1840" s="20">
        <v>40</v>
      </c>
      <c r="D1840" s="20">
        <v>28966</v>
      </c>
      <c r="E1840" s="17">
        <v>28266</v>
      </c>
      <c r="F1840" s="18">
        <f t="shared" si="618"/>
        <v>0.97583373610439827</v>
      </c>
    </row>
    <row r="1841" spans="1:6" ht="15" customHeight="1" x14ac:dyDescent="0.25">
      <c r="A1841" s="15"/>
      <c r="B1841" s="24" t="s">
        <v>1502</v>
      </c>
      <c r="C1841" s="20">
        <v>77</v>
      </c>
      <c r="D1841" s="20">
        <v>61843</v>
      </c>
      <c r="E1841" s="17">
        <v>51158</v>
      </c>
      <c r="F1841" s="18">
        <f t="shared" si="618"/>
        <v>0.82722377633685296</v>
      </c>
    </row>
    <row r="1842" spans="1:6" ht="23.1" customHeight="1" x14ac:dyDescent="0.25">
      <c r="A1842" s="22"/>
      <c r="B1842" s="22" t="s">
        <v>7</v>
      </c>
      <c r="C1842" s="14">
        <f t="shared" ref="C1842" si="629">SUM(C1843:C1848)</f>
        <v>346</v>
      </c>
      <c r="D1842" s="14">
        <f t="shared" ref="D1842:E1842" si="630">SUM(D1843:D1848)</f>
        <v>257691</v>
      </c>
      <c r="E1842" s="14">
        <f t="shared" si="630"/>
        <v>194157</v>
      </c>
      <c r="F1842" s="13">
        <f t="shared" ref="F1842:F1875" si="631">SUM(E1842/D1842)</f>
        <v>0.75344889809888582</v>
      </c>
    </row>
    <row r="1843" spans="1:6" ht="15" customHeight="1" x14ac:dyDescent="0.25">
      <c r="A1843" s="15">
        <v>1</v>
      </c>
      <c r="B1843" s="15" t="s">
        <v>1311</v>
      </c>
      <c r="C1843" s="20">
        <v>66</v>
      </c>
      <c r="D1843" s="20">
        <v>45803</v>
      </c>
      <c r="E1843" s="17">
        <v>36638</v>
      </c>
      <c r="F1843" s="18">
        <f t="shared" si="631"/>
        <v>0.79990393642337843</v>
      </c>
    </row>
    <row r="1844" spans="1:6" ht="15" customHeight="1" x14ac:dyDescent="0.25">
      <c r="A1844" s="15">
        <v>2</v>
      </c>
      <c r="B1844" s="15" t="s">
        <v>609</v>
      </c>
      <c r="C1844" s="20">
        <v>58</v>
      </c>
      <c r="D1844" s="20">
        <v>46667</v>
      </c>
      <c r="E1844" s="17">
        <v>35750</v>
      </c>
      <c r="F1844" s="18">
        <f t="shared" si="631"/>
        <v>0.76606595667173805</v>
      </c>
    </row>
    <row r="1845" spans="1:6" ht="15" customHeight="1" x14ac:dyDescent="0.25">
      <c r="A1845" s="15">
        <v>3</v>
      </c>
      <c r="B1845" s="15" t="s">
        <v>1116</v>
      </c>
      <c r="C1845" s="20">
        <v>40</v>
      </c>
      <c r="D1845" s="20">
        <v>31592</v>
      </c>
      <c r="E1845" s="17">
        <v>25259</v>
      </c>
      <c r="F1845" s="18">
        <f t="shared" si="631"/>
        <v>0.79953785768549002</v>
      </c>
    </row>
    <row r="1846" spans="1:6" ht="15" customHeight="1" x14ac:dyDescent="0.25">
      <c r="A1846" s="15">
        <v>4</v>
      </c>
      <c r="B1846" s="15" t="s">
        <v>1117</v>
      </c>
      <c r="C1846" s="20">
        <v>77</v>
      </c>
      <c r="D1846" s="20">
        <v>59106</v>
      </c>
      <c r="E1846" s="17">
        <v>41437</v>
      </c>
      <c r="F1846" s="18">
        <f t="shared" si="631"/>
        <v>0.70106249788515551</v>
      </c>
    </row>
    <row r="1847" spans="1:6" ht="15" customHeight="1" x14ac:dyDescent="0.25">
      <c r="A1847" s="15">
        <v>5</v>
      </c>
      <c r="B1847" s="15" t="s">
        <v>1312</v>
      </c>
      <c r="C1847" s="20">
        <v>62</v>
      </c>
      <c r="D1847" s="20">
        <v>43340</v>
      </c>
      <c r="E1847" s="17">
        <v>33823</v>
      </c>
      <c r="F1847" s="18">
        <f t="shared" si="631"/>
        <v>0.78041070604522378</v>
      </c>
    </row>
    <row r="1848" spans="1:6" ht="15" customHeight="1" x14ac:dyDescent="0.25">
      <c r="A1848" s="15">
        <v>6</v>
      </c>
      <c r="B1848" s="15" t="s">
        <v>1313</v>
      </c>
      <c r="C1848" s="20">
        <v>43</v>
      </c>
      <c r="D1848" s="20">
        <v>31183</v>
      </c>
      <c r="E1848" s="17">
        <v>21250</v>
      </c>
      <c r="F1848" s="18">
        <f t="shared" si="631"/>
        <v>0.68146105249655264</v>
      </c>
    </row>
    <row r="1849" spans="1:6" ht="23.1" customHeight="1" x14ac:dyDescent="0.25">
      <c r="A1849" s="140" t="s">
        <v>1118</v>
      </c>
      <c r="B1849" s="140"/>
      <c r="C1849" s="14">
        <f>SUM(C1850+C1867+C1895+C1919+C1884)</f>
        <v>2666</v>
      </c>
      <c r="D1849" s="14">
        <f>SUM(D1850+D1867+D1895+D1919+D1884)</f>
        <v>1904917</v>
      </c>
      <c r="E1849" s="14">
        <f>SUM(E1850+E1867+E1895+E1919+E1884)</f>
        <v>1613102</v>
      </c>
      <c r="F1849" s="13">
        <f t="shared" si="631"/>
        <v>0.84680959852843984</v>
      </c>
    </row>
    <row r="1850" spans="1:6" ht="23.1" customHeight="1" x14ac:dyDescent="0.25">
      <c r="A1850" s="22"/>
      <c r="B1850" s="22" t="s">
        <v>1119</v>
      </c>
      <c r="C1850" s="14">
        <f>SUM(C1852+C1860+C1866)</f>
        <v>643</v>
      </c>
      <c r="D1850" s="14">
        <f t="shared" ref="D1850:E1850" si="632">SUM(D1852+D1860+D1866)</f>
        <v>492857</v>
      </c>
      <c r="E1850" s="14">
        <f t="shared" si="632"/>
        <v>403667</v>
      </c>
      <c r="F1850" s="13">
        <f t="shared" si="631"/>
        <v>0.81903473015499428</v>
      </c>
    </row>
    <row r="1851" spans="1:6" ht="23.1" customHeight="1" x14ac:dyDescent="0.25">
      <c r="A1851" s="22"/>
      <c r="B1851" s="22" t="s">
        <v>22</v>
      </c>
      <c r="C1851" s="14"/>
      <c r="D1851" s="14"/>
      <c r="E1851" s="14"/>
      <c r="F1851" s="13"/>
    </row>
    <row r="1852" spans="1:6" ht="23.1" customHeight="1" x14ac:dyDescent="0.25">
      <c r="A1852" s="22"/>
      <c r="B1852" s="22" t="s">
        <v>23</v>
      </c>
      <c r="C1852" s="14">
        <f>SUM(C1853:C1859)</f>
        <v>210</v>
      </c>
      <c r="D1852" s="14">
        <f t="shared" ref="D1852:E1852" si="633">SUM(D1853:D1859)</f>
        <v>153358</v>
      </c>
      <c r="E1852" s="14">
        <f t="shared" si="633"/>
        <v>126536</v>
      </c>
      <c r="F1852" s="13">
        <f t="shared" si="631"/>
        <v>0.82510204880084503</v>
      </c>
    </row>
    <row r="1853" spans="1:6" ht="15" customHeight="1" x14ac:dyDescent="0.25">
      <c r="A1853" s="15">
        <v>1</v>
      </c>
      <c r="B1853" s="15" t="s">
        <v>1121</v>
      </c>
      <c r="C1853" s="19">
        <v>27</v>
      </c>
      <c r="D1853" s="19">
        <v>17167</v>
      </c>
      <c r="E1853" s="17">
        <v>14778</v>
      </c>
      <c r="F1853" s="18">
        <f t="shared" ref="F1853:F1860" si="634">SUM(E1853/D1853)</f>
        <v>0.86083765363779341</v>
      </c>
    </row>
    <row r="1854" spans="1:6" ht="15" customHeight="1" x14ac:dyDescent="0.25">
      <c r="A1854" s="15">
        <v>2</v>
      </c>
      <c r="B1854" s="15" t="s">
        <v>1122</v>
      </c>
      <c r="C1854" s="19">
        <v>20</v>
      </c>
      <c r="D1854" s="19">
        <v>14096</v>
      </c>
      <c r="E1854" s="17">
        <v>11369</v>
      </c>
      <c r="F1854" s="18">
        <f t="shared" si="634"/>
        <v>0.80654086265607261</v>
      </c>
    </row>
    <row r="1855" spans="1:6" ht="15" customHeight="1" x14ac:dyDescent="0.25">
      <c r="A1855" s="15">
        <v>3</v>
      </c>
      <c r="B1855" s="15" t="s">
        <v>424</v>
      </c>
      <c r="C1855" s="19">
        <v>22</v>
      </c>
      <c r="D1855" s="19">
        <v>16517</v>
      </c>
      <c r="E1855" s="17">
        <v>13525</v>
      </c>
      <c r="F1855" s="18">
        <f t="shared" si="634"/>
        <v>0.8188533026578676</v>
      </c>
    </row>
    <row r="1856" spans="1:6" ht="15" customHeight="1" x14ac:dyDescent="0.25">
      <c r="A1856" s="15">
        <v>4</v>
      </c>
      <c r="B1856" s="15" t="s">
        <v>1124</v>
      </c>
      <c r="C1856" s="19">
        <v>18</v>
      </c>
      <c r="D1856" s="19">
        <v>13565</v>
      </c>
      <c r="E1856" s="17">
        <v>10991</v>
      </c>
      <c r="F1856" s="18">
        <f t="shared" si="634"/>
        <v>0.81024695908588273</v>
      </c>
    </row>
    <row r="1857" spans="1:6" ht="15" customHeight="1" x14ac:dyDescent="0.25">
      <c r="A1857" s="15">
        <v>5</v>
      </c>
      <c r="B1857" s="15" t="s">
        <v>141</v>
      </c>
      <c r="C1857" s="19">
        <v>20</v>
      </c>
      <c r="D1857" s="19">
        <v>15159</v>
      </c>
      <c r="E1857" s="17">
        <v>12248</v>
      </c>
      <c r="F1857" s="18">
        <f t="shared" si="634"/>
        <v>0.80796886338148954</v>
      </c>
    </row>
    <row r="1858" spans="1:6" ht="15" customHeight="1" x14ac:dyDescent="0.25">
      <c r="A1858" s="15">
        <v>6</v>
      </c>
      <c r="B1858" s="15" t="s">
        <v>1125</v>
      </c>
      <c r="C1858" s="19">
        <v>30</v>
      </c>
      <c r="D1858" s="19">
        <v>22257</v>
      </c>
      <c r="E1858" s="17">
        <v>19172</v>
      </c>
      <c r="F1858" s="18">
        <f t="shared" si="634"/>
        <v>0.86139192164262923</v>
      </c>
    </row>
    <row r="1859" spans="1:6" ht="15" customHeight="1" x14ac:dyDescent="0.25">
      <c r="A1859" s="15"/>
      <c r="B1859" s="24" t="s">
        <v>1504</v>
      </c>
      <c r="C1859" s="19">
        <v>73</v>
      </c>
      <c r="D1859" s="19">
        <v>54597</v>
      </c>
      <c r="E1859" s="17">
        <v>44453</v>
      </c>
      <c r="F1859" s="18">
        <f t="shared" si="634"/>
        <v>0.81420224554462695</v>
      </c>
    </row>
    <row r="1860" spans="1:6" ht="23.1" customHeight="1" x14ac:dyDescent="0.25">
      <c r="A1860" s="22"/>
      <c r="B1860" s="22" t="s">
        <v>39</v>
      </c>
      <c r="C1860" s="14">
        <f>SUM(C1861:C1864)</f>
        <v>160</v>
      </c>
      <c r="D1860" s="14">
        <f t="shared" ref="D1860:E1860" si="635">SUM(D1861:D1864)</f>
        <v>118805</v>
      </c>
      <c r="E1860" s="14">
        <f t="shared" si="635"/>
        <v>96386</v>
      </c>
      <c r="F1860" s="13">
        <f t="shared" si="634"/>
        <v>0.81129582088295948</v>
      </c>
    </row>
    <row r="1861" spans="1:6" ht="15" customHeight="1" x14ac:dyDescent="0.25">
      <c r="A1861" s="15">
        <v>1</v>
      </c>
      <c r="B1861" s="15" t="s">
        <v>463</v>
      </c>
      <c r="C1861" s="19">
        <v>72</v>
      </c>
      <c r="D1861" s="19">
        <v>52245</v>
      </c>
      <c r="E1861" s="17">
        <v>42142</v>
      </c>
      <c r="F1861" s="18">
        <f t="shared" si="631"/>
        <v>0.80662264331514977</v>
      </c>
    </row>
    <row r="1862" spans="1:6" ht="15" customHeight="1" x14ac:dyDescent="0.25">
      <c r="A1862" s="15">
        <v>2</v>
      </c>
      <c r="B1862" s="15" t="s">
        <v>757</v>
      </c>
      <c r="C1862" s="19">
        <v>20</v>
      </c>
      <c r="D1862" s="19">
        <v>15408</v>
      </c>
      <c r="E1862" s="17">
        <v>12630</v>
      </c>
      <c r="F1862" s="18">
        <f t="shared" si="631"/>
        <v>0.81970404984423673</v>
      </c>
    </row>
    <row r="1863" spans="1:6" ht="15" customHeight="1" x14ac:dyDescent="0.25">
      <c r="A1863" s="15">
        <v>3</v>
      </c>
      <c r="B1863" s="15" t="s">
        <v>1120</v>
      </c>
      <c r="C1863" s="20">
        <v>31</v>
      </c>
      <c r="D1863" s="20">
        <v>21354</v>
      </c>
      <c r="E1863" s="17">
        <v>17560</v>
      </c>
      <c r="F1863" s="18">
        <f>SUM(E1863/D1863)</f>
        <v>0.82232836939215137</v>
      </c>
    </row>
    <row r="1864" spans="1:6" ht="15" customHeight="1" x14ac:dyDescent="0.25">
      <c r="A1864" s="15">
        <v>4</v>
      </c>
      <c r="B1864" s="15" t="s">
        <v>1123</v>
      </c>
      <c r="C1864" s="19">
        <v>37</v>
      </c>
      <c r="D1864" s="19">
        <v>29798</v>
      </c>
      <c r="E1864" s="17">
        <v>24054</v>
      </c>
      <c r="F1864" s="18">
        <f t="shared" si="631"/>
        <v>0.80723538492516278</v>
      </c>
    </row>
    <row r="1865" spans="1:6" ht="23.1" customHeight="1" x14ac:dyDescent="0.25">
      <c r="A1865" s="15"/>
      <c r="B1865" s="22" t="s">
        <v>22</v>
      </c>
      <c r="C1865" s="19"/>
      <c r="D1865" s="19"/>
      <c r="E1865" s="17"/>
      <c r="F1865" s="18"/>
    </row>
    <row r="1866" spans="1:6" ht="15" customHeight="1" x14ac:dyDescent="0.25">
      <c r="A1866" s="15"/>
      <c r="B1866" s="24" t="s">
        <v>1503</v>
      </c>
      <c r="C1866" s="20">
        <v>273</v>
      </c>
      <c r="D1866" s="20">
        <v>220694</v>
      </c>
      <c r="E1866" s="17">
        <v>180745</v>
      </c>
      <c r="F1866" s="18">
        <f>SUM(E1866/D1866)</f>
        <v>0.81898465748955562</v>
      </c>
    </row>
    <row r="1867" spans="1:6" ht="23.1" customHeight="1" x14ac:dyDescent="0.25">
      <c r="A1867" s="22"/>
      <c r="B1867" s="22" t="s">
        <v>1126</v>
      </c>
      <c r="C1867" s="14">
        <f t="shared" ref="C1867" si="636">SUM(C1868+C1875)</f>
        <v>633</v>
      </c>
      <c r="D1867" s="14">
        <f t="shared" ref="D1867:E1867" si="637">SUM(D1868+D1875)</f>
        <v>446642</v>
      </c>
      <c r="E1867" s="14">
        <f t="shared" si="637"/>
        <v>357755</v>
      </c>
      <c r="F1867" s="13">
        <f t="shared" si="631"/>
        <v>0.80098826353097108</v>
      </c>
    </row>
    <row r="1868" spans="1:6" ht="23.1" customHeight="1" x14ac:dyDescent="0.25">
      <c r="A1868" s="22"/>
      <c r="B1868" s="22" t="s">
        <v>6</v>
      </c>
      <c r="C1868" s="14">
        <f t="shared" ref="C1868" si="638">SUM(C1869:C1874)</f>
        <v>327</v>
      </c>
      <c r="D1868" s="14">
        <f t="shared" ref="D1868:E1868" si="639">SUM(D1869:D1874)</f>
        <v>214205</v>
      </c>
      <c r="E1868" s="14">
        <f t="shared" si="639"/>
        <v>170774</v>
      </c>
      <c r="F1868" s="13">
        <f t="shared" si="631"/>
        <v>0.79724562918699382</v>
      </c>
    </row>
    <row r="1869" spans="1:6" ht="15" customHeight="1" x14ac:dyDescent="0.25">
      <c r="A1869" s="15">
        <v>1</v>
      </c>
      <c r="B1869" s="15" t="s">
        <v>609</v>
      </c>
      <c r="C1869" s="19">
        <v>62</v>
      </c>
      <c r="D1869" s="19">
        <v>33849</v>
      </c>
      <c r="E1869" s="17">
        <v>25959</v>
      </c>
      <c r="F1869" s="18">
        <f t="shared" si="631"/>
        <v>0.7669059647256935</v>
      </c>
    </row>
    <row r="1870" spans="1:6" ht="15" customHeight="1" x14ac:dyDescent="0.25">
      <c r="A1870" s="15">
        <v>2</v>
      </c>
      <c r="B1870" s="15" t="s">
        <v>1505</v>
      </c>
      <c r="C1870" s="20">
        <v>65</v>
      </c>
      <c r="D1870" s="20">
        <v>49236</v>
      </c>
      <c r="E1870" s="17">
        <v>39409</v>
      </c>
      <c r="F1870" s="18">
        <f t="shared" si="631"/>
        <v>0.80041026890892841</v>
      </c>
    </row>
    <row r="1871" spans="1:6" ht="15" customHeight="1" x14ac:dyDescent="0.25">
      <c r="A1871" s="15">
        <v>3</v>
      </c>
      <c r="B1871" s="15" t="s">
        <v>288</v>
      </c>
      <c r="C1871" s="19">
        <v>37</v>
      </c>
      <c r="D1871" s="19">
        <v>21125</v>
      </c>
      <c r="E1871" s="17">
        <v>14931</v>
      </c>
      <c r="F1871" s="18">
        <f t="shared" si="631"/>
        <v>0.70679289940828405</v>
      </c>
    </row>
    <row r="1872" spans="1:6" ht="15" customHeight="1" x14ac:dyDescent="0.25">
      <c r="A1872" s="15">
        <v>4</v>
      </c>
      <c r="B1872" s="15" t="s">
        <v>1127</v>
      </c>
      <c r="C1872" s="20">
        <v>36</v>
      </c>
      <c r="D1872" s="20">
        <v>22080</v>
      </c>
      <c r="E1872" s="17">
        <v>19055</v>
      </c>
      <c r="F1872" s="18">
        <f t="shared" si="631"/>
        <v>0.86299818840579712</v>
      </c>
    </row>
    <row r="1873" spans="1:6" ht="15" customHeight="1" x14ac:dyDescent="0.25">
      <c r="A1873" s="15">
        <v>5</v>
      </c>
      <c r="B1873" s="15" t="s">
        <v>1128</v>
      </c>
      <c r="C1873" s="20">
        <v>35</v>
      </c>
      <c r="D1873" s="20">
        <v>23177</v>
      </c>
      <c r="E1873" s="17">
        <v>18727</v>
      </c>
      <c r="F1873" s="18">
        <f t="shared" si="631"/>
        <v>0.8079993096604392</v>
      </c>
    </row>
    <row r="1874" spans="1:6" ht="15" customHeight="1" x14ac:dyDescent="0.25">
      <c r="A1874" s="15"/>
      <c r="B1874" s="24" t="s">
        <v>1506</v>
      </c>
      <c r="C1874" s="19">
        <v>92</v>
      </c>
      <c r="D1874" s="19">
        <v>64738</v>
      </c>
      <c r="E1874" s="17">
        <v>52693</v>
      </c>
      <c r="F1874" s="18">
        <f t="shared" si="631"/>
        <v>0.81394235225061018</v>
      </c>
    </row>
    <row r="1875" spans="1:6" ht="23.1" customHeight="1" x14ac:dyDescent="0.25">
      <c r="A1875" s="22"/>
      <c r="B1875" s="22" t="s">
        <v>7</v>
      </c>
      <c r="C1875" s="14">
        <f t="shared" ref="C1875" si="640">SUM(C1876:C1883)</f>
        <v>306</v>
      </c>
      <c r="D1875" s="14">
        <f t="shared" ref="D1875:E1875" si="641">SUM(D1876:D1883)</f>
        <v>232437</v>
      </c>
      <c r="E1875" s="14">
        <f t="shared" si="641"/>
        <v>186981</v>
      </c>
      <c r="F1875" s="13">
        <f t="shared" si="631"/>
        <v>0.80443733140592932</v>
      </c>
    </row>
    <row r="1876" spans="1:6" ht="15" customHeight="1" x14ac:dyDescent="0.25">
      <c r="A1876" s="15">
        <v>1</v>
      </c>
      <c r="B1876" s="15" t="s">
        <v>1129</v>
      </c>
      <c r="C1876" s="20">
        <v>31</v>
      </c>
      <c r="D1876" s="20">
        <v>23003</v>
      </c>
      <c r="E1876" s="17">
        <v>18275</v>
      </c>
      <c r="F1876" s="18">
        <f t="shared" ref="F1876:F1884" si="642">SUM(E1876/D1876)</f>
        <v>0.79446159196626531</v>
      </c>
    </row>
    <row r="1877" spans="1:6" ht="15" customHeight="1" x14ac:dyDescent="0.25">
      <c r="A1877" s="15">
        <v>2</v>
      </c>
      <c r="B1877" s="15" t="s">
        <v>42</v>
      </c>
      <c r="C1877" s="19">
        <v>36</v>
      </c>
      <c r="D1877" s="19">
        <v>23824</v>
      </c>
      <c r="E1877" s="17">
        <v>20647</v>
      </c>
      <c r="F1877" s="18">
        <f t="shared" si="642"/>
        <v>0.86664707857622569</v>
      </c>
    </row>
    <row r="1878" spans="1:6" ht="15" customHeight="1" x14ac:dyDescent="0.25">
      <c r="A1878" s="15">
        <v>3</v>
      </c>
      <c r="B1878" s="15" t="s">
        <v>1130</v>
      </c>
      <c r="C1878" s="20">
        <v>33</v>
      </c>
      <c r="D1878" s="20">
        <v>25966</v>
      </c>
      <c r="E1878" s="17">
        <v>19246</v>
      </c>
      <c r="F1878" s="18">
        <f t="shared" si="642"/>
        <v>0.74120003080952013</v>
      </c>
    </row>
    <row r="1879" spans="1:6" ht="15" customHeight="1" x14ac:dyDescent="0.25">
      <c r="A1879" s="15">
        <v>4</v>
      </c>
      <c r="B1879" s="15" t="s">
        <v>160</v>
      </c>
      <c r="C1879" s="19">
        <v>44</v>
      </c>
      <c r="D1879" s="19">
        <v>37015</v>
      </c>
      <c r="E1879" s="17">
        <v>32177</v>
      </c>
      <c r="F1879" s="18">
        <f t="shared" si="642"/>
        <v>0.86929623125759825</v>
      </c>
    </row>
    <row r="1880" spans="1:6" ht="15" customHeight="1" x14ac:dyDescent="0.25">
      <c r="A1880" s="15">
        <v>5</v>
      </c>
      <c r="B1880" s="15" t="s">
        <v>803</v>
      </c>
      <c r="C1880" s="20">
        <v>63</v>
      </c>
      <c r="D1880" s="20">
        <v>50216</v>
      </c>
      <c r="E1880" s="17">
        <v>39153</v>
      </c>
      <c r="F1880" s="18">
        <f t="shared" si="642"/>
        <v>0.77969173171897399</v>
      </c>
    </row>
    <row r="1881" spans="1:6" ht="15" customHeight="1" x14ac:dyDescent="0.25">
      <c r="A1881" s="15">
        <v>6</v>
      </c>
      <c r="B1881" s="15" t="s">
        <v>1131</v>
      </c>
      <c r="C1881" s="20">
        <v>25</v>
      </c>
      <c r="D1881" s="20">
        <v>17502</v>
      </c>
      <c r="E1881" s="17">
        <v>14676</v>
      </c>
      <c r="F1881" s="18">
        <f t="shared" si="642"/>
        <v>0.83853273911552961</v>
      </c>
    </row>
    <row r="1882" spans="1:6" ht="15" customHeight="1" x14ac:dyDescent="0.25">
      <c r="A1882" s="15">
        <v>7</v>
      </c>
      <c r="B1882" s="15" t="s">
        <v>1132</v>
      </c>
      <c r="C1882" s="20">
        <v>43</v>
      </c>
      <c r="D1882" s="20">
        <v>33779</v>
      </c>
      <c r="E1882" s="17">
        <v>26448</v>
      </c>
      <c r="F1882" s="18">
        <f t="shared" si="642"/>
        <v>0.78297166878830038</v>
      </c>
    </row>
    <row r="1883" spans="1:6" ht="15" customHeight="1" x14ac:dyDescent="0.25">
      <c r="A1883" s="15">
        <v>8</v>
      </c>
      <c r="B1883" s="15" t="s">
        <v>1133</v>
      </c>
      <c r="C1883" s="19">
        <v>31</v>
      </c>
      <c r="D1883" s="19">
        <v>21132</v>
      </c>
      <c r="E1883" s="17">
        <v>16359</v>
      </c>
      <c r="F1883" s="18">
        <f t="shared" si="642"/>
        <v>0.77413401476433841</v>
      </c>
    </row>
    <row r="1884" spans="1:6" ht="23.1" customHeight="1" x14ac:dyDescent="0.25">
      <c r="A1884" s="22"/>
      <c r="B1884" s="22" t="s">
        <v>1134</v>
      </c>
      <c r="C1884" s="14">
        <f t="shared" ref="C1884" si="643">SUM(C1886+C1891)</f>
        <v>140</v>
      </c>
      <c r="D1884" s="14">
        <f t="shared" ref="D1884:E1884" si="644">SUM(D1886+D1891)</f>
        <v>81673</v>
      </c>
      <c r="E1884" s="14">
        <f t="shared" si="644"/>
        <v>71033</v>
      </c>
      <c r="F1884" s="13">
        <f t="shared" si="642"/>
        <v>0.86972438872087465</v>
      </c>
    </row>
    <row r="1885" spans="1:6" ht="23.1" customHeight="1" x14ac:dyDescent="0.25">
      <c r="A1885" s="22"/>
      <c r="B1885" s="22" t="s">
        <v>22</v>
      </c>
      <c r="C1885" s="14"/>
      <c r="D1885" s="14"/>
      <c r="E1885" s="14"/>
      <c r="F1885" s="18"/>
    </row>
    <row r="1886" spans="1:6" ht="23.1" customHeight="1" x14ac:dyDescent="0.25">
      <c r="A1886" s="22"/>
      <c r="B1886" s="22" t="s">
        <v>23</v>
      </c>
      <c r="C1886" s="14">
        <f t="shared" ref="C1886" si="645">SUM(C1887:C1890)</f>
        <v>81</v>
      </c>
      <c r="D1886" s="14">
        <f t="shared" ref="D1886:E1886" si="646">SUM(D1887:D1890)</f>
        <v>43293</v>
      </c>
      <c r="E1886" s="14">
        <f t="shared" si="646"/>
        <v>37808</v>
      </c>
      <c r="F1886" s="13">
        <f t="shared" ref="F1886:F1917" si="647">SUM(E1886/D1886)</f>
        <v>0.87330515325803248</v>
      </c>
    </row>
    <row r="1887" spans="1:6" ht="15" customHeight="1" x14ac:dyDescent="0.25">
      <c r="A1887" s="15">
        <v>1</v>
      </c>
      <c r="B1887" s="15" t="s">
        <v>1507</v>
      </c>
      <c r="C1887" s="20">
        <v>30</v>
      </c>
      <c r="D1887" s="20">
        <v>15193</v>
      </c>
      <c r="E1887" s="17">
        <v>13156</v>
      </c>
      <c r="F1887" s="18">
        <f t="shared" si="647"/>
        <v>0.86592509708418353</v>
      </c>
    </row>
    <row r="1888" spans="1:6" ht="15" customHeight="1" x14ac:dyDescent="0.25">
      <c r="A1888" s="15">
        <v>2</v>
      </c>
      <c r="B1888" s="15" t="s">
        <v>1508</v>
      </c>
      <c r="C1888" s="20">
        <v>24</v>
      </c>
      <c r="D1888" s="20">
        <v>13040</v>
      </c>
      <c r="E1888" s="17">
        <v>11602</v>
      </c>
      <c r="F1888" s="18">
        <f t="shared" si="647"/>
        <v>0.88972392638036812</v>
      </c>
    </row>
    <row r="1889" spans="1:6" ht="15" customHeight="1" x14ac:dyDescent="0.25">
      <c r="A1889" s="15">
        <v>3</v>
      </c>
      <c r="B1889" s="15" t="s">
        <v>1130</v>
      </c>
      <c r="C1889" s="20">
        <v>15</v>
      </c>
      <c r="D1889" s="20">
        <v>8150</v>
      </c>
      <c r="E1889" s="17">
        <v>6760</v>
      </c>
      <c r="F1889" s="18">
        <f t="shared" si="647"/>
        <v>0.82944785276073618</v>
      </c>
    </row>
    <row r="1890" spans="1:6" ht="15" customHeight="1" x14ac:dyDescent="0.25">
      <c r="A1890" s="15">
        <v>4</v>
      </c>
      <c r="B1890" s="15" t="s">
        <v>1135</v>
      </c>
      <c r="C1890" s="20">
        <v>12</v>
      </c>
      <c r="D1890" s="20">
        <v>6910</v>
      </c>
      <c r="E1890" s="17">
        <v>6290</v>
      </c>
      <c r="F1890" s="18">
        <f t="shared" si="647"/>
        <v>0.91027496382054995</v>
      </c>
    </row>
    <row r="1891" spans="1:6" ht="23.1" customHeight="1" x14ac:dyDescent="0.25">
      <c r="A1891" s="44"/>
      <c r="B1891" s="22" t="s">
        <v>39</v>
      </c>
      <c r="C1891" s="14">
        <f t="shared" ref="C1891" si="648">SUM(C1892:C1894)</f>
        <v>59</v>
      </c>
      <c r="D1891" s="14">
        <f t="shared" ref="D1891:E1891" si="649">SUM(D1892:D1894)</f>
        <v>38380</v>
      </c>
      <c r="E1891" s="14">
        <f t="shared" si="649"/>
        <v>33225</v>
      </c>
      <c r="F1891" s="13">
        <f t="shared" si="647"/>
        <v>0.86568525273579988</v>
      </c>
    </row>
    <row r="1892" spans="1:6" ht="15" customHeight="1" x14ac:dyDescent="0.25">
      <c r="A1892" s="15">
        <v>1</v>
      </c>
      <c r="B1892" s="15" t="s">
        <v>1136</v>
      </c>
      <c r="C1892" s="20">
        <v>19</v>
      </c>
      <c r="D1892" s="20">
        <v>13114</v>
      </c>
      <c r="E1892" s="17">
        <v>11523</v>
      </c>
      <c r="F1892" s="18">
        <f t="shared" si="647"/>
        <v>0.8786792740582583</v>
      </c>
    </row>
    <row r="1893" spans="1:6" ht="15" customHeight="1" x14ac:dyDescent="0.25">
      <c r="A1893" s="15">
        <v>2</v>
      </c>
      <c r="B1893" s="15" t="s">
        <v>1137</v>
      </c>
      <c r="C1893" s="20">
        <v>13</v>
      </c>
      <c r="D1893" s="20">
        <v>8828</v>
      </c>
      <c r="E1893" s="17">
        <v>7570</v>
      </c>
      <c r="F1893" s="18">
        <f t="shared" si="647"/>
        <v>0.85749886724059809</v>
      </c>
    </row>
    <row r="1894" spans="1:6" ht="15" customHeight="1" x14ac:dyDescent="0.25">
      <c r="A1894" s="15">
        <v>3</v>
      </c>
      <c r="B1894" s="15" t="s">
        <v>374</v>
      </c>
      <c r="C1894" s="20">
        <v>27</v>
      </c>
      <c r="D1894" s="20">
        <v>16438</v>
      </c>
      <c r="E1894" s="17">
        <v>14132</v>
      </c>
      <c r="F1894" s="18">
        <f t="shared" si="647"/>
        <v>0.85971529383136636</v>
      </c>
    </row>
    <row r="1895" spans="1:6" ht="23.1" customHeight="1" x14ac:dyDescent="0.25">
      <c r="A1895" s="22"/>
      <c r="B1895" s="22" t="s">
        <v>1138</v>
      </c>
      <c r="C1895" s="14">
        <f t="shared" ref="C1895" si="650">SUM(C1896+C1906)</f>
        <v>592</v>
      </c>
      <c r="D1895" s="14">
        <f t="shared" ref="D1895:E1895" si="651">SUM(D1896+D1906)</f>
        <v>407056</v>
      </c>
      <c r="E1895" s="14">
        <f t="shared" si="651"/>
        <v>361860</v>
      </c>
      <c r="F1895" s="13">
        <f t="shared" si="647"/>
        <v>0.88896859400180805</v>
      </c>
    </row>
    <row r="1896" spans="1:6" ht="23.1" customHeight="1" x14ac:dyDescent="0.25">
      <c r="A1896" s="22"/>
      <c r="B1896" s="22" t="s">
        <v>6</v>
      </c>
      <c r="C1896" s="14">
        <f t="shared" ref="C1896" si="652">SUM(C1897:C1905)</f>
        <v>178</v>
      </c>
      <c r="D1896" s="14">
        <f t="shared" ref="D1896:E1896" si="653">SUM(D1897:D1905)</f>
        <v>113571</v>
      </c>
      <c r="E1896" s="14">
        <f t="shared" si="653"/>
        <v>103270</v>
      </c>
      <c r="F1896" s="13">
        <f t="shared" si="647"/>
        <v>0.90929902880136659</v>
      </c>
    </row>
    <row r="1897" spans="1:6" ht="15" customHeight="1" x14ac:dyDescent="0.25">
      <c r="A1897" s="15">
        <v>1</v>
      </c>
      <c r="B1897" s="15" t="s">
        <v>101</v>
      </c>
      <c r="C1897" s="19">
        <v>8</v>
      </c>
      <c r="D1897" s="19">
        <v>4501</v>
      </c>
      <c r="E1897" s="17">
        <v>4071</v>
      </c>
      <c r="F1897" s="18">
        <f t="shared" si="647"/>
        <v>0.90446567429460123</v>
      </c>
    </row>
    <row r="1898" spans="1:6" ht="15" customHeight="1" x14ac:dyDescent="0.25">
      <c r="A1898" s="15">
        <v>2</v>
      </c>
      <c r="B1898" s="15" t="s">
        <v>1139</v>
      </c>
      <c r="C1898" s="20">
        <v>38</v>
      </c>
      <c r="D1898" s="20">
        <v>24658</v>
      </c>
      <c r="E1898" s="17">
        <v>22194</v>
      </c>
      <c r="F1898" s="18">
        <f t="shared" si="647"/>
        <v>0.90007299862113721</v>
      </c>
    </row>
    <row r="1899" spans="1:6" ht="15" customHeight="1" x14ac:dyDescent="0.25">
      <c r="A1899" s="15">
        <v>3</v>
      </c>
      <c r="B1899" s="15" t="s">
        <v>1140</v>
      </c>
      <c r="C1899" s="19">
        <v>24</v>
      </c>
      <c r="D1899" s="19">
        <v>13341</v>
      </c>
      <c r="E1899" s="17">
        <v>11869</v>
      </c>
      <c r="F1899" s="18">
        <f t="shared" si="647"/>
        <v>0.88966344351997606</v>
      </c>
    </row>
    <row r="1900" spans="1:6" ht="15" customHeight="1" x14ac:dyDescent="0.25">
      <c r="A1900" s="15">
        <v>4</v>
      </c>
      <c r="B1900" s="15" t="s">
        <v>465</v>
      </c>
      <c r="C1900" s="19">
        <v>30</v>
      </c>
      <c r="D1900" s="19">
        <v>20658</v>
      </c>
      <c r="E1900" s="17">
        <v>18609</v>
      </c>
      <c r="F1900" s="18">
        <f t="shared" si="647"/>
        <v>0.90081324426372344</v>
      </c>
    </row>
    <row r="1901" spans="1:6" ht="15" customHeight="1" x14ac:dyDescent="0.25">
      <c r="A1901" s="15">
        <v>5</v>
      </c>
      <c r="B1901" s="15" t="s">
        <v>33</v>
      </c>
      <c r="C1901" s="19">
        <v>16</v>
      </c>
      <c r="D1901" s="19">
        <v>8989</v>
      </c>
      <c r="E1901" s="17">
        <v>8389</v>
      </c>
      <c r="F1901" s="18">
        <f t="shared" si="647"/>
        <v>0.93325175214150624</v>
      </c>
    </row>
    <row r="1902" spans="1:6" ht="15" customHeight="1" x14ac:dyDescent="0.25">
      <c r="A1902" s="15">
        <v>6</v>
      </c>
      <c r="B1902" s="15" t="s">
        <v>1141</v>
      </c>
      <c r="C1902" s="19">
        <v>8</v>
      </c>
      <c r="D1902" s="19">
        <v>5750</v>
      </c>
      <c r="E1902" s="17">
        <v>5084</v>
      </c>
      <c r="F1902" s="18">
        <f t="shared" si="647"/>
        <v>0.88417391304347825</v>
      </c>
    </row>
    <row r="1903" spans="1:6" ht="15" customHeight="1" x14ac:dyDescent="0.25">
      <c r="A1903" s="15">
        <v>7</v>
      </c>
      <c r="B1903" s="15" t="s">
        <v>35</v>
      </c>
      <c r="C1903" s="19">
        <v>15</v>
      </c>
      <c r="D1903" s="19">
        <v>8276</v>
      </c>
      <c r="E1903" s="17">
        <v>7494</v>
      </c>
      <c r="F1903" s="18">
        <f t="shared" si="647"/>
        <v>0.90550990816819721</v>
      </c>
    </row>
    <row r="1904" spans="1:6" ht="15" customHeight="1" x14ac:dyDescent="0.25">
      <c r="A1904" s="15">
        <v>8</v>
      </c>
      <c r="B1904" s="15" t="s">
        <v>1509</v>
      </c>
      <c r="C1904" s="19">
        <v>15</v>
      </c>
      <c r="D1904" s="19">
        <v>9709</v>
      </c>
      <c r="E1904" s="17">
        <v>8974</v>
      </c>
      <c r="F1904" s="18">
        <f t="shared" si="647"/>
        <v>0.92429704397981249</v>
      </c>
    </row>
    <row r="1905" spans="1:6" ht="15" customHeight="1" x14ac:dyDescent="0.25">
      <c r="A1905" s="15">
        <v>9</v>
      </c>
      <c r="B1905" s="15" t="s">
        <v>510</v>
      </c>
      <c r="C1905" s="19">
        <v>24</v>
      </c>
      <c r="D1905" s="19">
        <v>17689</v>
      </c>
      <c r="E1905" s="17">
        <v>16586</v>
      </c>
      <c r="F1905" s="18">
        <f t="shared" si="647"/>
        <v>0.93764486403979874</v>
      </c>
    </row>
    <row r="1906" spans="1:6" ht="23.1" customHeight="1" x14ac:dyDescent="0.25">
      <c r="A1906" s="22"/>
      <c r="B1906" s="22" t="s">
        <v>7</v>
      </c>
      <c r="C1906" s="14">
        <f t="shared" ref="C1906" si="654">SUM(C1907:C1918)</f>
        <v>414</v>
      </c>
      <c r="D1906" s="14">
        <f t="shared" ref="D1906:E1906" si="655">SUM(D1907:D1918)</f>
        <v>293485</v>
      </c>
      <c r="E1906" s="14">
        <f t="shared" si="655"/>
        <v>258590</v>
      </c>
      <c r="F1906" s="13">
        <f t="shared" si="647"/>
        <v>0.88110124878613894</v>
      </c>
    </row>
    <row r="1907" spans="1:6" ht="15" customHeight="1" x14ac:dyDescent="0.25">
      <c r="A1907" s="15">
        <v>1</v>
      </c>
      <c r="B1907" s="15" t="s">
        <v>773</v>
      </c>
      <c r="C1907" s="19">
        <v>22</v>
      </c>
      <c r="D1907" s="19">
        <v>13621</v>
      </c>
      <c r="E1907" s="17">
        <v>11309</v>
      </c>
      <c r="F1907" s="18">
        <f t="shared" si="647"/>
        <v>0.83026209529403128</v>
      </c>
    </row>
    <row r="1908" spans="1:6" ht="15" customHeight="1" x14ac:dyDescent="0.25">
      <c r="A1908" s="15">
        <v>2</v>
      </c>
      <c r="B1908" s="15" t="s">
        <v>1142</v>
      </c>
      <c r="C1908" s="20">
        <v>19</v>
      </c>
      <c r="D1908" s="20">
        <v>13152</v>
      </c>
      <c r="E1908" s="17">
        <v>11979</v>
      </c>
      <c r="F1908" s="18">
        <f t="shared" si="647"/>
        <v>0.91081204379562042</v>
      </c>
    </row>
    <row r="1909" spans="1:6" ht="15" customHeight="1" x14ac:dyDescent="0.25">
      <c r="A1909" s="15">
        <v>3</v>
      </c>
      <c r="B1909" s="15" t="s">
        <v>1143</v>
      </c>
      <c r="C1909" s="20">
        <v>43</v>
      </c>
      <c r="D1909" s="20">
        <v>33102</v>
      </c>
      <c r="E1909" s="17">
        <v>28946</v>
      </c>
      <c r="F1909" s="18">
        <f t="shared" si="647"/>
        <v>0.87444867379614521</v>
      </c>
    </row>
    <row r="1910" spans="1:6" ht="15" customHeight="1" x14ac:dyDescent="0.25">
      <c r="A1910" s="15">
        <v>4</v>
      </c>
      <c r="B1910" s="15" t="s">
        <v>1144</v>
      </c>
      <c r="C1910" s="20">
        <v>23</v>
      </c>
      <c r="D1910" s="20">
        <v>14842</v>
      </c>
      <c r="E1910" s="17">
        <v>13036</v>
      </c>
      <c r="F1910" s="18">
        <f t="shared" si="647"/>
        <v>0.87831828594529038</v>
      </c>
    </row>
    <row r="1911" spans="1:6" ht="15" customHeight="1" x14ac:dyDescent="0.25">
      <c r="A1911" s="15">
        <v>5</v>
      </c>
      <c r="B1911" s="15" t="s">
        <v>1145</v>
      </c>
      <c r="C1911" s="19">
        <v>34</v>
      </c>
      <c r="D1911" s="19">
        <v>21282</v>
      </c>
      <c r="E1911" s="17">
        <v>18709</v>
      </c>
      <c r="F1911" s="18">
        <f t="shared" si="647"/>
        <v>0.87909970867399678</v>
      </c>
    </row>
    <row r="1912" spans="1:6" ht="15" customHeight="1" x14ac:dyDescent="0.25">
      <c r="A1912" s="15">
        <v>6</v>
      </c>
      <c r="B1912" s="15" t="s">
        <v>1146</v>
      </c>
      <c r="C1912" s="19">
        <v>22</v>
      </c>
      <c r="D1912" s="19">
        <v>15021</v>
      </c>
      <c r="E1912" s="17">
        <v>13118</v>
      </c>
      <c r="F1912" s="18">
        <f t="shared" si="647"/>
        <v>0.87331069835563546</v>
      </c>
    </row>
    <row r="1913" spans="1:6" ht="15" customHeight="1" x14ac:dyDescent="0.25">
      <c r="A1913" s="15">
        <v>7</v>
      </c>
      <c r="B1913" s="15" t="s">
        <v>611</v>
      </c>
      <c r="C1913" s="20">
        <v>32</v>
      </c>
      <c r="D1913" s="20">
        <v>22183</v>
      </c>
      <c r="E1913" s="17">
        <v>18984</v>
      </c>
      <c r="F1913" s="18">
        <f t="shared" si="647"/>
        <v>0.85579047017986742</v>
      </c>
    </row>
    <row r="1914" spans="1:6" ht="15" customHeight="1" x14ac:dyDescent="0.25">
      <c r="A1914" s="15">
        <v>8</v>
      </c>
      <c r="B1914" s="15" t="s">
        <v>1390</v>
      </c>
      <c r="C1914" s="19">
        <v>21</v>
      </c>
      <c r="D1914" s="19">
        <v>14451</v>
      </c>
      <c r="E1914" s="17">
        <v>12748</v>
      </c>
      <c r="F1914" s="18">
        <f t="shared" si="647"/>
        <v>0.88215348418794548</v>
      </c>
    </row>
    <row r="1915" spans="1:6" ht="15" customHeight="1" x14ac:dyDescent="0.25">
      <c r="A1915" s="15">
        <v>9</v>
      </c>
      <c r="B1915" s="15" t="s">
        <v>193</v>
      </c>
      <c r="C1915" s="20">
        <v>18</v>
      </c>
      <c r="D1915" s="20">
        <v>12042</v>
      </c>
      <c r="E1915" s="17">
        <v>10746</v>
      </c>
      <c r="F1915" s="18">
        <f t="shared" si="647"/>
        <v>0.8923766816143498</v>
      </c>
    </row>
    <row r="1916" spans="1:6" ht="15" customHeight="1" x14ac:dyDescent="0.25">
      <c r="A1916" s="15">
        <v>10</v>
      </c>
      <c r="B1916" s="15" t="s">
        <v>1147</v>
      </c>
      <c r="C1916" s="20">
        <v>21</v>
      </c>
      <c r="D1916" s="20">
        <v>14029</v>
      </c>
      <c r="E1916" s="17">
        <v>12478</v>
      </c>
      <c r="F1916" s="18">
        <f t="shared" si="647"/>
        <v>0.88944329602965289</v>
      </c>
    </row>
    <row r="1917" spans="1:6" ht="15" customHeight="1" x14ac:dyDescent="0.25">
      <c r="A1917" s="15">
        <v>11</v>
      </c>
      <c r="B1917" s="15" t="s">
        <v>1148</v>
      </c>
      <c r="C1917" s="20">
        <v>18</v>
      </c>
      <c r="D1917" s="20">
        <v>11636</v>
      </c>
      <c r="E1917" s="17">
        <v>10320</v>
      </c>
      <c r="F1917" s="18">
        <f t="shared" si="647"/>
        <v>0.8869027157098659</v>
      </c>
    </row>
    <row r="1918" spans="1:6" ht="15" customHeight="1" x14ac:dyDescent="0.25">
      <c r="A1918" s="15"/>
      <c r="B1918" s="24" t="s">
        <v>1510</v>
      </c>
      <c r="C1918" s="19">
        <v>141</v>
      </c>
      <c r="D1918" s="19">
        <v>108124</v>
      </c>
      <c r="E1918" s="17">
        <v>96217</v>
      </c>
      <c r="F1918" s="18">
        <f t="shared" ref="F1918:F1942" si="656">SUM(E1918/D1918)</f>
        <v>0.88987643816358997</v>
      </c>
    </row>
    <row r="1919" spans="1:6" ht="23.1" customHeight="1" x14ac:dyDescent="0.25">
      <c r="A1919" s="22"/>
      <c r="B1919" s="22" t="s">
        <v>1149</v>
      </c>
      <c r="C1919" s="14">
        <f t="shared" ref="C1919" si="657">SUM(C1920+C1935)</f>
        <v>658</v>
      </c>
      <c r="D1919" s="14">
        <f t="shared" ref="D1919:E1919" si="658">SUM(D1920+D1935)</f>
        <v>476689</v>
      </c>
      <c r="E1919" s="14">
        <f t="shared" si="658"/>
        <v>418787</v>
      </c>
      <c r="F1919" s="13">
        <f t="shared" si="656"/>
        <v>0.87853296384015578</v>
      </c>
    </row>
    <row r="1920" spans="1:6" ht="23.1" customHeight="1" x14ac:dyDescent="0.25">
      <c r="A1920" s="22"/>
      <c r="B1920" s="22" t="s">
        <v>6</v>
      </c>
      <c r="C1920" s="14">
        <f t="shared" ref="C1920" si="659">SUM(C1921:C1934)</f>
        <v>378</v>
      </c>
      <c r="D1920" s="14">
        <f t="shared" ref="D1920:E1920" si="660">SUM(D1921:D1934)</f>
        <v>276452</v>
      </c>
      <c r="E1920" s="14">
        <f t="shared" si="660"/>
        <v>242266</v>
      </c>
      <c r="F1920" s="13">
        <f t="shared" si="656"/>
        <v>0.87634019648980654</v>
      </c>
    </row>
    <row r="1921" spans="1:6" ht="15" customHeight="1" x14ac:dyDescent="0.25">
      <c r="A1921" s="15">
        <v>1</v>
      </c>
      <c r="B1921" s="15" t="s">
        <v>1150</v>
      </c>
      <c r="C1921" s="20">
        <v>10</v>
      </c>
      <c r="D1921" s="20">
        <v>7226</v>
      </c>
      <c r="E1921" s="17">
        <v>6442</v>
      </c>
      <c r="F1921" s="18">
        <f t="shared" si="656"/>
        <v>0.89150290617215611</v>
      </c>
    </row>
    <row r="1922" spans="1:6" ht="15" customHeight="1" x14ac:dyDescent="0.25">
      <c r="A1922" s="15">
        <v>2</v>
      </c>
      <c r="B1922" s="15" t="s">
        <v>1151</v>
      </c>
      <c r="C1922" s="20">
        <v>24</v>
      </c>
      <c r="D1922" s="20">
        <v>15905</v>
      </c>
      <c r="E1922" s="17">
        <v>14156</v>
      </c>
      <c r="F1922" s="18">
        <f t="shared" si="656"/>
        <v>0.89003458032065386</v>
      </c>
    </row>
    <row r="1923" spans="1:6" ht="15" customHeight="1" x14ac:dyDescent="0.25">
      <c r="A1923" s="15">
        <v>3</v>
      </c>
      <c r="B1923" s="15" t="s">
        <v>1152</v>
      </c>
      <c r="C1923" s="20">
        <v>35</v>
      </c>
      <c r="D1923" s="20">
        <v>25823</v>
      </c>
      <c r="E1923" s="17">
        <v>21953</v>
      </c>
      <c r="F1923" s="18">
        <f t="shared" si="656"/>
        <v>0.85013360182782793</v>
      </c>
    </row>
    <row r="1924" spans="1:6" ht="15" customHeight="1" x14ac:dyDescent="0.25">
      <c r="A1924" s="15">
        <v>4</v>
      </c>
      <c r="B1924" s="15" t="s">
        <v>757</v>
      </c>
      <c r="C1924" s="20">
        <v>12</v>
      </c>
      <c r="D1924" s="20">
        <v>8629</v>
      </c>
      <c r="E1924" s="17">
        <v>7671</v>
      </c>
      <c r="F1924" s="18">
        <f t="shared" si="656"/>
        <v>0.88897902422065134</v>
      </c>
    </row>
    <row r="1925" spans="1:6" ht="15" customHeight="1" x14ac:dyDescent="0.25">
      <c r="A1925" s="15">
        <v>5</v>
      </c>
      <c r="B1925" s="15" t="s">
        <v>1153</v>
      </c>
      <c r="C1925" s="20">
        <v>24</v>
      </c>
      <c r="D1925" s="20">
        <v>18603</v>
      </c>
      <c r="E1925" s="17">
        <v>16296</v>
      </c>
      <c r="F1925" s="18">
        <f t="shared" si="656"/>
        <v>0.87598774391227219</v>
      </c>
    </row>
    <row r="1926" spans="1:6" ht="15" customHeight="1" x14ac:dyDescent="0.25">
      <c r="A1926" s="15">
        <v>6</v>
      </c>
      <c r="B1926" s="15" t="s">
        <v>740</v>
      </c>
      <c r="C1926" s="20">
        <v>20</v>
      </c>
      <c r="D1926" s="20">
        <v>14351</v>
      </c>
      <c r="E1926" s="17">
        <v>12934</v>
      </c>
      <c r="F1926" s="18">
        <f t="shared" si="656"/>
        <v>0.9012612361507909</v>
      </c>
    </row>
    <row r="1927" spans="1:6" ht="15" customHeight="1" x14ac:dyDescent="0.25">
      <c r="A1927" s="15">
        <v>7</v>
      </c>
      <c r="B1927" s="15" t="s">
        <v>1154</v>
      </c>
      <c r="C1927" s="20">
        <v>16</v>
      </c>
      <c r="D1927" s="20">
        <v>10245</v>
      </c>
      <c r="E1927" s="17">
        <v>9042</v>
      </c>
      <c r="F1927" s="18">
        <f t="shared" si="656"/>
        <v>0.88257686676427527</v>
      </c>
    </row>
    <row r="1928" spans="1:6" ht="15" customHeight="1" x14ac:dyDescent="0.25">
      <c r="A1928" s="15">
        <v>8</v>
      </c>
      <c r="B1928" s="15" t="s">
        <v>1155</v>
      </c>
      <c r="C1928" s="20">
        <v>33</v>
      </c>
      <c r="D1928" s="20">
        <v>25350</v>
      </c>
      <c r="E1928" s="17">
        <v>21631</v>
      </c>
      <c r="F1928" s="18">
        <f t="shared" si="656"/>
        <v>0.85329388560157793</v>
      </c>
    </row>
    <row r="1929" spans="1:6" ht="15" customHeight="1" x14ac:dyDescent="0.25">
      <c r="A1929" s="15">
        <v>9</v>
      </c>
      <c r="B1929" s="15" t="s">
        <v>1156</v>
      </c>
      <c r="C1929" s="20">
        <v>21</v>
      </c>
      <c r="D1929" s="20">
        <v>13985</v>
      </c>
      <c r="E1929" s="17">
        <v>12492</v>
      </c>
      <c r="F1929" s="18">
        <f t="shared" si="656"/>
        <v>0.89324276010010728</v>
      </c>
    </row>
    <row r="1930" spans="1:6" ht="15" customHeight="1" x14ac:dyDescent="0.25">
      <c r="A1930" s="15">
        <v>10</v>
      </c>
      <c r="B1930" s="15" t="s">
        <v>1157</v>
      </c>
      <c r="C1930" s="20">
        <v>22</v>
      </c>
      <c r="D1930" s="20">
        <v>15490</v>
      </c>
      <c r="E1930" s="17">
        <v>13583</v>
      </c>
      <c r="F1930" s="18">
        <f t="shared" si="656"/>
        <v>0.87688831504196252</v>
      </c>
    </row>
    <row r="1931" spans="1:6" ht="15" customHeight="1" x14ac:dyDescent="0.25">
      <c r="A1931" s="15">
        <v>10</v>
      </c>
      <c r="B1931" s="15" t="s">
        <v>262</v>
      </c>
      <c r="C1931" s="20">
        <v>22</v>
      </c>
      <c r="D1931" s="20">
        <v>15281</v>
      </c>
      <c r="E1931" s="17">
        <v>13394</v>
      </c>
      <c r="F1931" s="18">
        <f t="shared" si="656"/>
        <v>0.87651331719128334</v>
      </c>
    </row>
    <row r="1932" spans="1:6" ht="15" customHeight="1" x14ac:dyDescent="0.25">
      <c r="A1932" s="15">
        <v>12</v>
      </c>
      <c r="B1932" s="15" t="s">
        <v>317</v>
      </c>
      <c r="C1932" s="20">
        <v>40</v>
      </c>
      <c r="D1932" s="20">
        <v>28243</v>
      </c>
      <c r="E1932" s="17">
        <v>24921</v>
      </c>
      <c r="F1932" s="18">
        <f t="shared" si="656"/>
        <v>0.88237793435541545</v>
      </c>
    </row>
    <row r="1933" spans="1:6" ht="15" customHeight="1" x14ac:dyDescent="0.25">
      <c r="A1933" s="15">
        <v>13</v>
      </c>
      <c r="B1933" s="15" t="s">
        <v>1158</v>
      </c>
      <c r="C1933" s="20">
        <v>41</v>
      </c>
      <c r="D1933" s="20">
        <v>29325</v>
      </c>
      <c r="E1933" s="17">
        <v>25529</v>
      </c>
      <c r="F1933" s="18">
        <f t="shared" si="656"/>
        <v>0.87055413469735721</v>
      </c>
    </row>
    <row r="1934" spans="1:6" ht="15" customHeight="1" x14ac:dyDescent="0.25">
      <c r="A1934" s="15"/>
      <c r="B1934" s="24" t="s">
        <v>1511</v>
      </c>
      <c r="C1934" s="20">
        <v>58</v>
      </c>
      <c r="D1934" s="20">
        <v>47996</v>
      </c>
      <c r="E1934" s="17">
        <v>42222</v>
      </c>
      <c r="F1934" s="18">
        <f t="shared" si="656"/>
        <v>0.8796983081923494</v>
      </c>
    </row>
    <row r="1935" spans="1:6" ht="23.1" customHeight="1" x14ac:dyDescent="0.25">
      <c r="A1935" s="22"/>
      <c r="B1935" s="22" t="s">
        <v>7</v>
      </c>
      <c r="C1935" s="14">
        <f t="shared" ref="C1935" si="661">SUM(C1936:C1940)</f>
        <v>280</v>
      </c>
      <c r="D1935" s="14">
        <f t="shared" ref="D1935:E1935" si="662">SUM(D1936:D1940)</f>
        <v>200237</v>
      </c>
      <c r="E1935" s="14">
        <f t="shared" si="662"/>
        <v>176521</v>
      </c>
      <c r="F1935" s="13">
        <f t="shared" si="656"/>
        <v>0.88156035098408381</v>
      </c>
    </row>
    <row r="1936" spans="1:6" ht="15" customHeight="1" x14ac:dyDescent="0.25">
      <c r="A1936" s="15">
        <v>1</v>
      </c>
      <c r="B1936" s="15" t="s">
        <v>1159</v>
      </c>
      <c r="C1936" s="20">
        <v>53</v>
      </c>
      <c r="D1936" s="20">
        <v>39312</v>
      </c>
      <c r="E1936" s="17">
        <v>34546</v>
      </c>
      <c r="F1936" s="18">
        <f t="shared" si="656"/>
        <v>0.87876475376475371</v>
      </c>
    </row>
    <row r="1937" spans="1:6" ht="15" customHeight="1" x14ac:dyDescent="0.25">
      <c r="A1937" s="15">
        <v>2</v>
      </c>
      <c r="B1937" s="15" t="s">
        <v>1160</v>
      </c>
      <c r="C1937" s="20">
        <v>48</v>
      </c>
      <c r="D1937" s="20">
        <v>33553</v>
      </c>
      <c r="E1937" s="17">
        <v>29493</v>
      </c>
      <c r="F1937" s="18">
        <f t="shared" si="656"/>
        <v>0.87899740708729468</v>
      </c>
    </row>
    <row r="1938" spans="1:6" ht="15" customHeight="1" x14ac:dyDescent="0.25">
      <c r="A1938" s="15">
        <v>3</v>
      </c>
      <c r="B1938" s="15" t="s">
        <v>1161</v>
      </c>
      <c r="C1938" s="20">
        <v>40</v>
      </c>
      <c r="D1938" s="20">
        <v>24720</v>
      </c>
      <c r="E1938" s="17">
        <v>21794</v>
      </c>
      <c r="F1938" s="18">
        <f t="shared" si="656"/>
        <v>0.88163430420711975</v>
      </c>
    </row>
    <row r="1939" spans="1:6" ht="15" customHeight="1" x14ac:dyDescent="0.25">
      <c r="A1939" s="15">
        <v>4</v>
      </c>
      <c r="B1939" s="15" t="s">
        <v>1162</v>
      </c>
      <c r="C1939" s="20">
        <v>44</v>
      </c>
      <c r="D1939" s="20">
        <v>30283</v>
      </c>
      <c r="E1939" s="17">
        <v>27006</v>
      </c>
      <c r="F1939" s="18">
        <f t="shared" si="656"/>
        <v>0.89178747151867388</v>
      </c>
    </row>
    <row r="1940" spans="1:6" ht="15" customHeight="1" x14ac:dyDescent="0.25">
      <c r="A1940" s="15"/>
      <c r="B1940" s="24" t="s">
        <v>1512</v>
      </c>
      <c r="C1940" s="20">
        <v>95</v>
      </c>
      <c r="D1940" s="20">
        <v>72369</v>
      </c>
      <c r="E1940" s="17">
        <v>63682</v>
      </c>
      <c r="F1940" s="18">
        <f t="shared" si="656"/>
        <v>0.8799624148461358</v>
      </c>
    </row>
    <row r="1941" spans="1:6" ht="23.1" customHeight="1" x14ac:dyDescent="0.25">
      <c r="A1941" s="140" t="s">
        <v>1322</v>
      </c>
      <c r="B1941" s="140"/>
      <c r="C1941" s="12">
        <f>SUM(C1942+C1959+C2002+C2021+C2049+C2065)</f>
        <v>3576</v>
      </c>
      <c r="D1941" s="12">
        <f t="shared" ref="D1941:E1941" si="663">SUM(D1942+D1959+D2002+D2021+D2049+D2065)</f>
        <v>2378828</v>
      </c>
      <c r="E1941" s="12">
        <f t="shared" si="663"/>
        <v>1846549</v>
      </c>
      <c r="F1941" s="13">
        <f t="shared" si="656"/>
        <v>0.77624317521065</v>
      </c>
    </row>
    <row r="1942" spans="1:6" ht="23.1" customHeight="1" x14ac:dyDescent="0.25">
      <c r="A1942" s="22"/>
      <c r="B1942" s="22" t="s">
        <v>1163</v>
      </c>
      <c r="C1942" s="14">
        <f t="shared" ref="C1942" si="664">SUM(C1944+C1949)</f>
        <v>440</v>
      </c>
      <c r="D1942" s="14">
        <f t="shared" ref="D1942:E1942" si="665">SUM(D1944+D1949)</f>
        <v>315601</v>
      </c>
      <c r="E1942" s="14">
        <f t="shared" si="665"/>
        <v>251108</v>
      </c>
      <c r="F1942" s="13">
        <f t="shared" si="656"/>
        <v>0.79565020389669239</v>
      </c>
    </row>
    <row r="1943" spans="1:6" ht="23.1" customHeight="1" x14ac:dyDescent="0.25">
      <c r="A1943" s="22"/>
      <c r="B1943" s="22" t="s">
        <v>1164</v>
      </c>
      <c r="C1943" s="14"/>
      <c r="D1943" s="14"/>
      <c r="E1943" s="14"/>
      <c r="F1943" s="18"/>
    </row>
    <row r="1944" spans="1:6" ht="23.1" customHeight="1" x14ac:dyDescent="0.25">
      <c r="A1944" s="22"/>
      <c r="B1944" s="22" t="s">
        <v>23</v>
      </c>
      <c r="C1944" s="14">
        <f t="shared" ref="C1944" si="666">SUM(C1945:C1948)</f>
        <v>200</v>
      </c>
      <c r="D1944" s="14">
        <f t="shared" ref="D1944:E1944" si="667">SUM(D1945:D1948)</f>
        <v>145976</v>
      </c>
      <c r="E1944" s="14">
        <f t="shared" si="667"/>
        <v>105905</v>
      </c>
      <c r="F1944" s="13">
        <f t="shared" ref="F1944:F1960" si="668">SUM(E1944/D1944)</f>
        <v>0.72549597194059301</v>
      </c>
    </row>
    <row r="1945" spans="1:6" ht="15" customHeight="1" x14ac:dyDescent="0.25">
      <c r="A1945" s="15">
        <v>1</v>
      </c>
      <c r="B1945" s="15" t="s">
        <v>1165</v>
      </c>
      <c r="C1945" s="27">
        <v>15</v>
      </c>
      <c r="D1945" s="27">
        <v>11877</v>
      </c>
      <c r="E1945" s="17">
        <v>10268</v>
      </c>
      <c r="F1945" s="18">
        <f t="shared" si="668"/>
        <v>0.86452807948135046</v>
      </c>
    </row>
    <row r="1946" spans="1:6" ht="15" customHeight="1" x14ac:dyDescent="0.25">
      <c r="A1946" s="15">
        <v>2</v>
      </c>
      <c r="B1946" s="15" t="s">
        <v>1166</v>
      </c>
      <c r="C1946" s="27">
        <v>32</v>
      </c>
      <c r="D1946" s="27">
        <v>20224</v>
      </c>
      <c r="E1946" s="17">
        <v>17277</v>
      </c>
      <c r="F1946" s="18">
        <f t="shared" si="668"/>
        <v>0.85428204113924056</v>
      </c>
    </row>
    <row r="1947" spans="1:6" ht="15" customHeight="1" x14ac:dyDescent="0.25">
      <c r="A1947" s="15">
        <v>3</v>
      </c>
      <c r="B1947" s="15" t="s">
        <v>1167</v>
      </c>
      <c r="C1947" s="27">
        <v>42</v>
      </c>
      <c r="D1947" s="27">
        <v>30398</v>
      </c>
      <c r="E1947" s="17">
        <v>23872</v>
      </c>
      <c r="F1947" s="18">
        <f t="shared" si="668"/>
        <v>0.785314823343641</v>
      </c>
    </row>
    <row r="1948" spans="1:6" ht="15" customHeight="1" x14ac:dyDescent="0.25">
      <c r="A1948" s="15"/>
      <c r="B1948" s="24" t="s">
        <v>1513</v>
      </c>
      <c r="C1948" s="27">
        <v>111</v>
      </c>
      <c r="D1948" s="27">
        <v>83477</v>
      </c>
      <c r="E1948" s="17">
        <v>54488</v>
      </c>
      <c r="F1948" s="18">
        <f t="shared" si="668"/>
        <v>0.65273069228649805</v>
      </c>
    </row>
    <row r="1949" spans="1:6" ht="23.1" customHeight="1" x14ac:dyDescent="0.25">
      <c r="A1949" s="22"/>
      <c r="B1949" s="22" t="s">
        <v>39</v>
      </c>
      <c r="C1949" s="14">
        <f t="shared" ref="C1949" si="669">SUM(C1950:C1958)</f>
        <v>240</v>
      </c>
      <c r="D1949" s="14">
        <f t="shared" ref="D1949:E1949" si="670">SUM(D1950:D1958)</f>
        <v>169625</v>
      </c>
      <c r="E1949" s="14">
        <f t="shared" si="670"/>
        <v>145203</v>
      </c>
      <c r="F1949" s="13">
        <f t="shared" si="668"/>
        <v>0.8560235814296242</v>
      </c>
    </row>
    <row r="1950" spans="1:6" ht="15" customHeight="1" x14ac:dyDescent="0.25">
      <c r="A1950" s="15">
        <v>1</v>
      </c>
      <c r="B1950" s="15" t="s">
        <v>1168</v>
      </c>
      <c r="C1950" s="27">
        <v>12</v>
      </c>
      <c r="D1950" s="27">
        <v>7516</v>
      </c>
      <c r="E1950" s="17">
        <v>7128</v>
      </c>
      <c r="F1950" s="18">
        <f t="shared" si="668"/>
        <v>0.94837679616817461</v>
      </c>
    </row>
    <row r="1951" spans="1:6" ht="15" customHeight="1" x14ac:dyDescent="0.25">
      <c r="A1951" s="15">
        <v>2</v>
      </c>
      <c r="B1951" s="15" t="s">
        <v>1169</v>
      </c>
      <c r="C1951" s="27">
        <v>20</v>
      </c>
      <c r="D1951" s="27">
        <v>13664</v>
      </c>
      <c r="E1951" s="17">
        <v>10065</v>
      </c>
      <c r="F1951" s="18">
        <f t="shared" si="668"/>
        <v>0.7366071428571429</v>
      </c>
    </row>
    <row r="1952" spans="1:6" ht="15" customHeight="1" x14ac:dyDescent="0.25">
      <c r="A1952" s="15">
        <v>3</v>
      </c>
      <c r="B1952" s="15" t="s">
        <v>1170</v>
      </c>
      <c r="C1952" s="27">
        <v>23</v>
      </c>
      <c r="D1952" s="27">
        <v>19547</v>
      </c>
      <c r="E1952" s="17">
        <v>17083</v>
      </c>
      <c r="F1952" s="18">
        <f t="shared" si="668"/>
        <v>0.8739448508722566</v>
      </c>
    </row>
    <row r="1953" spans="1:6" ht="15" customHeight="1" x14ac:dyDescent="0.25">
      <c r="A1953" s="15">
        <v>4</v>
      </c>
      <c r="B1953" s="15" t="s">
        <v>1171</v>
      </c>
      <c r="C1953" s="27">
        <v>39</v>
      </c>
      <c r="D1953" s="27">
        <v>25002</v>
      </c>
      <c r="E1953" s="17">
        <v>21312</v>
      </c>
      <c r="F1953" s="18">
        <f t="shared" si="668"/>
        <v>0.85241180705543551</v>
      </c>
    </row>
    <row r="1954" spans="1:6" ht="15" customHeight="1" x14ac:dyDescent="0.25">
      <c r="A1954" s="15">
        <v>5</v>
      </c>
      <c r="B1954" s="15" t="s">
        <v>1172</v>
      </c>
      <c r="C1954" s="27">
        <v>25</v>
      </c>
      <c r="D1954" s="27">
        <v>18140</v>
      </c>
      <c r="E1954" s="17">
        <v>16498</v>
      </c>
      <c r="F1954" s="18">
        <f t="shared" si="668"/>
        <v>0.90948180815876511</v>
      </c>
    </row>
    <row r="1955" spans="1:6" ht="15" customHeight="1" x14ac:dyDescent="0.25">
      <c r="A1955" s="15">
        <v>6</v>
      </c>
      <c r="B1955" s="15" t="s">
        <v>1173</v>
      </c>
      <c r="C1955" s="27">
        <v>20</v>
      </c>
      <c r="D1955" s="27">
        <v>14960</v>
      </c>
      <c r="E1955" s="17">
        <v>13506</v>
      </c>
      <c r="F1955" s="18">
        <f t="shared" si="668"/>
        <v>0.90280748663101607</v>
      </c>
    </row>
    <row r="1956" spans="1:6" ht="15" customHeight="1" x14ac:dyDescent="0.25">
      <c r="A1956" s="15">
        <v>7</v>
      </c>
      <c r="B1956" s="15" t="s">
        <v>791</v>
      </c>
      <c r="C1956" s="27">
        <v>11</v>
      </c>
      <c r="D1956" s="27">
        <v>7512</v>
      </c>
      <c r="E1956" s="17">
        <v>6737</v>
      </c>
      <c r="F1956" s="18">
        <f t="shared" si="668"/>
        <v>0.89683173588924392</v>
      </c>
    </row>
    <row r="1957" spans="1:6" ht="15" customHeight="1" x14ac:dyDescent="0.25">
      <c r="A1957" s="15">
        <v>8</v>
      </c>
      <c r="B1957" s="15" t="s">
        <v>1174</v>
      </c>
      <c r="C1957" s="27">
        <v>17</v>
      </c>
      <c r="D1957" s="27">
        <v>11760</v>
      </c>
      <c r="E1957" s="17">
        <v>9574</v>
      </c>
      <c r="F1957" s="18">
        <f t="shared" si="668"/>
        <v>0.81411564625850341</v>
      </c>
    </row>
    <row r="1958" spans="1:6" ht="15" customHeight="1" x14ac:dyDescent="0.25">
      <c r="A1958" s="15"/>
      <c r="B1958" s="24" t="s">
        <v>1514</v>
      </c>
      <c r="C1958" s="27">
        <v>73</v>
      </c>
      <c r="D1958" s="27">
        <v>51524</v>
      </c>
      <c r="E1958" s="17">
        <v>43300</v>
      </c>
      <c r="F1958" s="18">
        <f t="shared" si="668"/>
        <v>0.8403850632714851</v>
      </c>
    </row>
    <row r="1959" spans="1:6" ht="23.1" customHeight="1" x14ac:dyDescent="0.25">
      <c r="A1959" s="22"/>
      <c r="B1959" s="22" t="s">
        <v>1175</v>
      </c>
      <c r="C1959" s="14">
        <f>SUM(C1960+C1979)</f>
        <v>1318</v>
      </c>
      <c r="D1959" s="14">
        <f>SUM(D1960+D1979)</f>
        <v>706919</v>
      </c>
      <c r="E1959" s="14">
        <f>SUM(E1960+E1979)</f>
        <v>572452</v>
      </c>
      <c r="F1959" s="13">
        <f t="shared" si="668"/>
        <v>0.80978443074807727</v>
      </c>
    </row>
    <row r="1960" spans="1:6" ht="23.1" customHeight="1" x14ac:dyDescent="0.25">
      <c r="A1960" s="22"/>
      <c r="B1960" s="22" t="s">
        <v>6</v>
      </c>
      <c r="C1960" s="14">
        <f>SUM(C1961:C1978)</f>
        <v>737</v>
      </c>
      <c r="D1960" s="14">
        <f>SUM(D1961:D1978)</f>
        <v>403831</v>
      </c>
      <c r="E1960" s="14">
        <f>SUM(E1961:E1978)</f>
        <v>328342</v>
      </c>
      <c r="F1960" s="13">
        <f t="shared" si="668"/>
        <v>0.81306784273619415</v>
      </c>
    </row>
    <row r="1961" spans="1:6" ht="15" customHeight="1" x14ac:dyDescent="0.25">
      <c r="A1961" s="15">
        <v>1</v>
      </c>
      <c r="B1961" s="15" t="s">
        <v>1515</v>
      </c>
      <c r="C1961" s="20">
        <v>18</v>
      </c>
      <c r="D1961" s="20">
        <v>5825</v>
      </c>
      <c r="E1961" s="17">
        <v>5610</v>
      </c>
      <c r="F1961" s="18">
        <f t="shared" ref="F1961:F1992" si="671">SUM(E1961/D1961)</f>
        <v>0.96309012875536482</v>
      </c>
    </row>
    <row r="1962" spans="1:6" ht="15" customHeight="1" x14ac:dyDescent="0.25">
      <c r="A1962" s="23">
        <v>2</v>
      </c>
      <c r="B1962" s="15" t="s">
        <v>1176</v>
      </c>
      <c r="C1962" s="20">
        <v>33</v>
      </c>
      <c r="D1962" s="20">
        <v>13728</v>
      </c>
      <c r="E1962" s="17">
        <v>10875</v>
      </c>
      <c r="F1962" s="18">
        <f>SUM(E1962/D1962)</f>
        <v>0.79217657342657344</v>
      </c>
    </row>
    <row r="1963" spans="1:6" ht="15" customHeight="1" x14ac:dyDescent="0.25">
      <c r="A1963" s="23">
        <v>3</v>
      </c>
      <c r="B1963" s="15" t="s">
        <v>1177</v>
      </c>
      <c r="C1963" s="20">
        <v>37</v>
      </c>
      <c r="D1963" s="20">
        <v>14151</v>
      </c>
      <c r="E1963" s="17">
        <v>12248</v>
      </c>
      <c r="F1963" s="18">
        <f>SUM(E1963/D1963)</f>
        <v>0.86552187124584834</v>
      </c>
    </row>
    <row r="1964" spans="1:6" ht="15" customHeight="1" x14ac:dyDescent="0.25">
      <c r="A1964" s="23">
        <v>4</v>
      </c>
      <c r="B1964" s="15" t="s">
        <v>1178</v>
      </c>
      <c r="C1964" s="20">
        <v>38</v>
      </c>
      <c r="D1964" s="20">
        <v>23528</v>
      </c>
      <c r="E1964" s="17">
        <v>19829</v>
      </c>
      <c r="F1964" s="18">
        <f t="shared" si="671"/>
        <v>0.84278306698401906</v>
      </c>
    </row>
    <row r="1965" spans="1:6" ht="15" customHeight="1" x14ac:dyDescent="0.25">
      <c r="A1965" s="15">
        <v>5</v>
      </c>
      <c r="B1965" s="15" t="s">
        <v>1179</v>
      </c>
      <c r="C1965" s="20">
        <v>24</v>
      </c>
      <c r="D1965" s="20">
        <v>14161</v>
      </c>
      <c r="E1965" s="17">
        <v>13776</v>
      </c>
      <c r="F1965" s="18">
        <f t="shared" si="671"/>
        <v>0.97281265447355414</v>
      </c>
    </row>
    <row r="1966" spans="1:6" ht="15" customHeight="1" x14ac:dyDescent="0.25">
      <c r="A1966" s="23">
        <v>6</v>
      </c>
      <c r="B1966" s="15" t="s">
        <v>1180</v>
      </c>
      <c r="C1966" s="20">
        <v>39</v>
      </c>
      <c r="D1966" s="20">
        <v>19733</v>
      </c>
      <c r="E1966" s="17">
        <v>16739</v>
      </c>
      <c r="F1966" s="18">
        <f t="shared" si="671"/>
        <v>0.84827446409567731</v>
      </c>
    </row>
    <row r="1967" spans="1:6" ht="15" customHeight="1" x14ac:dyDescent="0.25">
      <c r="A1967" s="15">
        <v>7</v>
      </c>
      <c r="B1967" s="15" t="s">
        <v>1270</v>
      </c>
      <c r="C1967" s="20">
        <v>39</v>
      </c>
      <c r="D1967" s="20">
        <v>22285</v>
      </c>
      <c r="E1967" s="17">
        <v>15467</v>
      </c>
      <c r="F1967" s="18">
        <f t="shared" si="671"/>
        <v>0.69405429661207085</v>
      </c>
    </row>
    <row r="1968" spans="1:6" ht="15" customHeight="1" x14ac:dyDescent="0.25">
      <c r="A1968" s="15">
        <v>8</v>
      </c>
      <c r="B1968" s="15" t="s">
        <v>1181</v>
      </c>
      <c r="C1968" s="20">
        <v>56</v>
      </c>
      <c r="D1968" s="20">
        <v>36147</v>
      </c>
      <c r="E1968" s="17">
        <v>27647</v>
      </c>
      <c r="F1968" s="18">
        <f t="shared" si="671"/>
        <v>0.76484908844440758</v>
      </c>
    </row>
    <row r="1969" spans="1:6" ht="15" customHeight="1" x14ac:dyDescent="0.25">
      <c r="A1969" s="23">
        <v>9</v>
      </c>
      <c r="B1969" s="15" t="s">
        <v>1182</v>
      </c>
      <c r="C1969" s="20">
        <v>35</v>
      </c>
      <c r="D1969" s="20">
        <v>17664</v>
      </c>
      <c r="E1969" s="17">
        <v>13486</v>
      </c>
      <c r="F1969" s="18">
        <f t="shared" si="671"/>
        <v>0.76347373188405798</v>
      </c>
    </row>
    <row r="1970" spans="1:6" ht="15" customHeight="1" x14ac:dyDescent="0.25">
      <c r="A1970" s="23">
        <v>10</v>
      </c>
      <c r="B1970" s="15" t="s">
        <v>1183</v>
      </c>
      <c r="C1970" s="20">
        <v>26</v>
      </c>
      <c r="D1970" s="20">
        <v>11873</v>
      </c>
      <c r="E1970" s="17">
        <v>9059</v>
      </c>
      <c r="F1970" s="18">
        <f t="shared" si="671"/>
        <v>0.76299166175355848</v>
      </c>
    </row>
    <row r="1971" spans="1:6" ht="15" customHeight="1" x14ac:dyDescent="0.25">
      <c r="A1971" s="23">
        <v>11</v>
      </c>
      <c r="B1971" s="15" t="s">
        <v>1184</v>
      </c>
      <c r="C1971" s="20">
        <v>37</v>
      </c>
      <c r="D1971" s="20">
        <v>16675</v>
      </c>
      <c r="E1971" s="17">
        <v>14372</v>
      </c>
      <c r="F1971" s="18">
        <f t="shared" si="671"/>
        <v>0.86188905547226391</v>
      </c>
    </row>
    <row r="1972" spans="1:6" ht="15" customHeight="1" x14ac:dyDescent="0.25">
      <c r="A1972" s="23">
        <v>12</v>
      </c>
      <c r="B1972" s="15" t="s">
        <v>1516</v>
      </c>
      <c r="C1972" s="20">
        <v>27</v>
      </c>
      <c r="D1972" s="20">
        <v>13662</v>
      </c>
      <c r="E1972" s="17">
        <v>10009</v>
      </c>
      <c r="F1972" s="18">
        <f t="shared" si="671"/>
        <v>0.73261601522471087</v>
      </c>
    </row>
    <row r="1973" spans="1:6" ht="15" customHeight="1" x14ac:dyDescent="0.25">
      <c r="A1973" s="15">
        <v>13</v>
      </c>
      <c r="B1973" s="15" t="s">
        <v>1185</v>
      </c>
      <c r="C1973" s="20">
        <v>37</v>
      </c>
      <c r="D1973" s="20">
        <v>23451</v>
      </c>
      <c r="E1973" s="17">
        <v>18980</v>
      </c>
      <c r="F1973" s="18">
        <f t="shared" si="671"/>
        <v>0.80934714937529317</v>
      </c>
    </row>
    <row r="1974" spans="1:6" ht="15" customHeight="1" x14ac:dyDescent="0.25">
      <c r="A1974" s="15">
        <v>14</v>
      </c>
      <c r="B1974" s="15" t="s">
        <v>1009</v>
      </c>
      <c r="C1974" s="20">
        <v>30</v>
      </c>
      <c r="D1974" s="20">
        <v>20194</v>
      </c>
      <c r="E1974" s="17">
        <v>17935</v>
      </c>
      <c r="F1974" s="18">
        <f t="shared" si="671"/>
        <v>0.8881350896305833</v>
      </c>
    </row>
    <row r="1975" spans="1:6" ht="15" customHeight="1" x14ac:dyDescent="0.25">
      <c r="A1975" s="23">
        <v>15</v>
      </c>
      <c r="B1975" s="15" t="s">
        <v>1186</v>
      </c>
      <c r="C1975" s="20">
        <v>44</v>
      </c>
      <c r="D1975" s="20">
        <v>19336</v>
      </c>
      <c r="E1975" s="17">
        <v>16469</v>
      </c>
      <c r="F1975" s="18">
        <f t="shared" si="671"/>
        <v>0.85172734795200666</v>
      </c>
    </row>
    <row r="1976" spans="1:6" ht="15" customHeight="1" x14ac:dyDescent="0.25">
      <c r="A1976" s="15">
        <v>16</v>
      </c>
      <c r="B1976" s="15" t="s">
        <v>1272</v>
      </c>
      <c r="C1976" s="20">
        <v>44</v>
      </c>
      <c r="D1976" s="20">
        <v>16524</v>
      </c>
      <c r="E1976" s="17">
        <v>11969</v>
      </c>
      <c r="F1976" s="18">
        <f t="shared" si="671"/>
        <v>0.72434035342532077</v>
      </c>
    </row>
    <row r="1977" spans="1:6" ht="15" customHeight="1" x14ac:dyDescent="0.25">
      <c r="A1977" s="23">
        <v>17</v>
      </c>
      <c r="B1977" s="15" t="s">
        <v>1187</v>
      </c>
      <c r="C1977" s="20">
        <v>49</v>
      </c>
      <c r="D1977" s="20">
        <v>35606</v>
      </c>
      <c r="E1977" s="17">
        <v>28888</v>
      </c>
      <c r="F1977" s="18">
        <f t="shared" si="671"/>
        <v>0.81132393416839854</v>
      </c>
    </row>
    <row r="1978" spans="1:6" ht="15" customHeight="1" x14ac:dyDescent="0.25">
      <c r="A1978" s="23"/>
      <c r="B1978" s="24" t="s">
        <v>1517</v>
      </c>
      <c r="C1978" s="20">
        <v>124</v>
      </c>
      <c r="D1978" s="20">
        <v>79288</v>
      </c>
      <c r="E1978" s="17">
        <v>64984</v>
      </c>
      <c r="F1978" s="18">
        <f t="shared" si="671"/>
        <v>0.81959439007163759</v>
      </c>
    </row>
    <row r="1979" spans="1:6" ht="23.1" customHeight="1" x14ac:dyDescent="0.25">
      <c r="A1979" s="22"/>
      <c r="B1979" s="22" t="s">
        <v>7</v>
      </c>
      <c r="C1979" s="14">
        <f t="shared" ref="C1979" si="672">SUM(C1980:C2001)</f>
        <v>581</v>
      </c>
      <c r="D1979" s="14">
        <f t="shared" ref="D1979:E1979" si="673">SUM(D1980:D2001)</f>
        <v>303088</v>
      </c>
      <c r="E1979" s="14">
        <f t="shared" si="673"/>
        <v>244110</v>
      </c>
      <c r="F1979" s="13">
        <f t="shared" si="671"/>
        <v>0.80540965000263953</v>
      </c>
    </row>
    <row r="1980" spans="1:6" ht="15" customHeight="1" x14ac:dyDescent="0.25">
      <c r="A1980" s="15">
        <v>1</v>
      </c>
      <c r="B1980" s="15" t="s">
        <v>1518</v>
      </c>
      <c r="C1980" s="19">
        <v>26</v>
      </c>
      <c r="D1980" s="19">
        <v>10713</v>
      </c>
      <c r="E1980" s="17">
        <v>8574</v>
      </c>
      <c r="F1980" s="18">
        <f t="shared" si="671"/>
        <v>0.80033604032483896</v>
      </c>
    </row>
    <row r="1981" spans="1:6" ht="15" customHeight="1" x14ac:dyDescent="0.25">
      <c r="A1981" s="23">
        <v>2</v>
      </c>
      <c r="B1981" s="15" t="s">
        <v>1188</v>
      </c>
      <c r="C1981" s="19">
        <v>33</v>
      </c>
      <c r="D1981" s="19">
        <v>18459</v>
      </c>
      <c r="E1981" s="17">
        <v>18057</v>
      </c>
      <c r="F1981" s="18">
        <f t="shared" si="671"/>
        <v>0.97822200552575977</v>
      </c>
    </row>
    <row r="1982" spans="1:6" ht="15" customHeight="1" x14ac:dyDescent="0.25">
      <c r="A1982" s="15">
        <v>3</v>
      </c>
      <c r="B1982" s="15" t="s">
        <v>1519</v>
      </c>
      <c r="C1982" s="19">
        <v>39</v>
      </c>
      <c r="D1982" s="19">
        <v>18978</v>
      </c>
      <c r="E1982" s="17">
        <v>15542</v>
      </c>
      <c r="F1982" s="18">
        <f t="shared" si="671"/>
        <v>0.81894825587522391</v>
      </c>
    </row>
    <row r="1983" spans="1:6" ht="15" customHeight="1" x14ac:dyDescent="0.25">
      <c r="A1983" s="23">
        <v>4</v>
      </c>
      <c r="B1983" s="15" t="s">
        <v>1189</v>
      </c>
      <c r="C1983" s="19">
        <v>49</v>
      </c>
      <c r="D1983" s="19">
        <v>21024</v>
      </c>
      <c r="E1983" s="17">
        <v>15229</v>
      </c>
      <c r="F1983" s="18">
        <f t="shared" si="671"/>
        <v>0.72436263318112637</v>
      </c>
    </row>
    <row r="1984" spans="1:6" ht="15" customHeight="1" x14ac:dyDescent="0.25">
      <c r="A1984" s="15">
        <v>5</v>
      </c>
      <c r="B1984" s="15" t="s">
        <v>1190</v>
      </c>
      <c r="C1984" s="19">
        <v>26</v>
      </c>
      <c r="D1984" s="19">
        <v>11170</v>
      </c>
      <c r="E1984" s="17">
        <v>8188</v>
      </c>
      <c r="F1984" s="18">
        <f t="shared" si="671"/>
        <v>0.73303491495076101</v>
      </c>
    </row>
    <row r="1985" spans="1:6" ht="15" customHeight="1" x14ac:dyDescent="0.25">
      <c r="A1985" s="15">
        <v>6</v>
      </c>
      <c r="B1985" s="15" t="s">
        <v>1271</v>
      </c>
      <c r="C1985" s="19">
        <v>21</v>
      </c>
      <c r="D1985" s="19">
        <v>13951</v>
      </c>
      <c r="E1985" s="17">
        <v>9669</v>
      </c>
      <c r="F1985" s="18">
        <f t="shared" si="671"/>
        <v>0.69306859723317327</v>
      </c>
    </row>
    <row r="1986" spans="1:6" ht="15" customHeight="1" x14ac:dyDescent="0.25">
      <c r="A1986" s="15">
        <v>7</v>
      </c>
      <c r="B1986" s="15" t="s">
        <v>1191</v>
      </c>
      <c r="C1986" s="19">
        <v>18</v>
      </c>
      <c r="D1986" s="19">
        <v>7696</v>
      </c>
      <c r="E1986" s="17">
        <v>6686</v>
      </c>
      <c r="F1986" s="18">
        <f t="shared" si="671"/>
        <v>0.86876299376299382</v>
      </c>
    </row>
    <row r="1987" spans="1:6" ht="15" customHeight="1" x14ac:dyDescent="0.25">
      <c r="A1987" s="15">
        <v>8</v>
      </c>
      <c r="B1987" s="15" t="s">
        <v>1192</v>
      </c>
      <c r="C1987" s="19">
        <v>32</v>
      </c>
      <c r="D1987" s="19">
        <v>11477</v>
      </c>
      <c r="E1987" s="17">
        <v>10641</v>
      </c>
      <c r="F1987" s="18">
        <f t="shared" si="671"/>
        <v>0.92715866515639977</v>
      </c>
    </row>
    <row r="1988" spans="1:6" ht="15" customHeight="1" x14ac:dyDescent="0.25">
      <c r="A1988" s="15">
        <v>9</v>
      </c>
      <c r="B1988" s="15" t="s">
        <v>1010</v>
      </c>
      <c r="C1988" s="19">
        <v>18</v>
      </c>
      <c r="D1988" s="19">
        <v>12226</v>
      </c>
      <c r="E1988" s="17">
        <v>12055</v>
      </c>
      <c r="F1988" s="18">
        <f t="shared" si="671"/>
        <v>0.98601341403566167</v>
      </c>
    </row>
    <row r="1989" spans="1:6" ht="15" customHeight="1" x14ac:dyDescent="0.25">
      <c r="A1989" s="23">
        <v>10</v>
      </c>
      <c r="B1989" s="15" t="s">
        <v>1193</v>
      </c>
      <c r="C1989" s="19">
        <v>12</v>
      </c>
      <c r="D1989" s="19">
        <v>8991</v>
      </c>
      <c r="E1989" s="17">
        <v>5163</v>
      </c>
      <c r="F1989" s="18">
        <f t="shared" si="671"/>
        <v>0.57424090757424096</v>
      </c>
    </row>
    <row r="1990" spans="1:6" ht="15" customHeight="1" x14ac:dyDescent="0.25">
      <c r="A1990" s="15">
        <v>11</v>
      </c>
      <c r="B1990" s="15" t="s">
        <v>1194</v>
      </c>
      <c r="C1990" s="19">
        <v>28</v>
      </c>
      <c r="D1990" s="19">
        <v>17636</v>
      </c>
      <c r="E1990" s="17">
        <v>13878</v>
      </c>
      <c r="F1990" s="18">
        <f t="shared" si="671"/>
        <v>0.78691313222953052</v>
      </c>
    </row>
    <row r="1991" spans="1:6" ht="15" customHeight="1" x14ac:dyDescent="0.25">
      <c r="A1991" s="15">
        <v>12</v>
      </c>
      <c r="B1991" s="15" t="s">
        <v>1195</v>
      </c>
      <c r="C1991" s="19">
        <v>22</v>
      </c>
      <c r="D1991" s="19">
        <v>9171</v>
      </c>
      <c r="E1991" s="17">
        <v>6440</v>
      </c>
      <c r="F1991" s="18">
        <f t="shared" si="671"/>
        <v>0.70221349907316544</v>
      </c>
    </row>
    <row r="1992" spans="1:6" ht="15" customHeight="1" x14ac:dyDescent="0.25">
      <c r="A1992" s="23">
        <v>13</v>
      </c>
      <c r="B1992" s="15" t="s">
        <v>1196</v>
      </c>
      <c r="C1992" s="19">
        <v>37</v>
      </c>
      <c r="D1992" s="19">
        <v>12837</v>
      </c>
      <c r="E1992" s="17">
        <v>10913</v>
      </c>
      <c r="F1992" s="18">
        <f t="shared" si="671"/>
        <v>0.85012074472228716</v>
      </c>
    </row>
    <row r="1993" spans="1:6" ht="15" customHeight="1" x14ac:dyDescent="0.25">
      <c r="A1993" s="15">
        <v>14</v>
      </c>
      <c r="B1993" s="15" t="s">
        <v>1197</v>
      </c>
      <c r="C1993" s="19">
        <v>24</v>
      </c>
      <c r="D1993" s="19">
        <v>10405</v>
      </c>
      <c r="E1993" s="17">
        <v>9837</v>
      </c>
      <c r="F1993" s="18">
        <f t="shared" ref="F1993:F2025" si="674">SUM(E1993/D1993)</f>
        <v>0.94541086016338294</v>
      </c>
    </row>
    <row r="1994" spans="1:6" ht="15" customHeight="1" x14ac:dyDescent="0.25">
      <c r="A1994" s="23">
        <v>15</v>
      </c>
      <c r="B1994" s="15" t="s">
        <v>1198</v>
      </c>
      <c r="C1994" s="19">
        <v>48</v>
      </c>
      <c r="D1994" s="19">
        <v>33585</v>
      </c>
      <c r="E1994" s="17">
        <v>29219</v>
      </c>
      <c r="F1994" s="18">
        <f t="shared" si="674"/>
        <v>0.87000148875986305</v>
      </c>
    </row>
    <row r="1995" spans="1:6" ht="15" customHeight="1" x14ac:dyDescent="0.25">
      <c r="A1995" s="15">
        <v>16</v>
      </c>
      <c r="B1995" s="15" t="s">
        <v>1252</v>
      </c>
      <c r="C1995" s="19">
        <v>26</v>
      </c>
      <c r="D1995" s="19">
        <v>16060</v>
      </c>
      <c r="E1995" s="17">
        <v>10216</v>
      </c>
      <c r="F1995" s="18">
        <f t="shared" si="674"/>
        <v>0.63611457036114571</v>
      </c>
    </row>
    <row r="1996" spans="1:6" ht="15" customHeight="1" x14ac:dyDescent="0.25">
      <c r="A1996" s="15">
        <v>17</v>
      </c>
      <c r="B1996" s="15" t="s">
        <v>1520</v>
      </c>
      <c r="C1996" s="19">
        <v>20</v>
      </c>
      <c r="D1996" s="19">
        <v>9134</v>
      </c>
      <c r="E1996" s="17">
        <v>8628</v>
      </c>
      <c r="F1996" s="18">
        <f t="shared" si="674"/>
        <v>0.94460258375301076</v>
      </c>
    </row>
    <row r="1997" spans="1:6" ht="15" customHeight="1" x14ac:dyDescent="0.25">
      <c r="A1997" s="15">
        <v>18</v>
      </c>
      <c r="B1997" s="15" t="s">
        <v>1521</v>
      </c>
      <c r="C1997" s="19">
        <v>19</v>
      </c>
      <c r="D1997" s="19">
        <v>11828</v>
      </c>
      <c r="E1997" s="17">
        <v>11370</v>
      </c>
      <c r="F1997" s="18">
        <f t="shared" si="674"/>
        <v>0.96127832262428137</v>
      </c>
    </row>
    <row r="1998" spans="1:6" ht="15" customHeight="1" x14ac:dyDescent="0.25">
      <c r="A1998" s="15">
        <v>19</v>
      </c>
      <c r="B1998" s="15" t="s">
        <v>1199</v>
      </c>
      <c r="C1998" s="19">
        <v>24</v>
      </c>
      <c r="D1998" s="19">
        <v>13630</v>
      </c>
      <c r="E1998" s="17">
        <v>9069</v>
      </c>
      <c r="F1998" s="18">
        <f t="shared" si="674"/>
        <v>0.66537050623624361</v>
      </c>
    </row>
    <row r="1999" spans="1:6" ht="15" customHeight="1" x14ac:dyDescent="0.25">
      <c r="A1999" s="15">
        <v>20</v>
      </c>
      <c r="B1999" s="15" t="s">
        <v>1200</v>
      </c>
      <c r="C1999" s="19">
        <v>11</v>
      </c>
      <c r="D1999" s="19">
        <v>6651</v>
      </c>
      <c r="E1999" s="17">
        <v>4016</v>
      </c>
      <c r="F1999" s="18">
        <f t="shared" si="674"/>
        <v>0.60381897459028722</v>
      </c>
    </row>
    <row r="2000" spans="1:6" ht="15" customHeight="1" x14ac:dyDescent="0.25">
      <c r="A2000" s="15">
        <v>21</v>
      </c>
      <c r="B2000" s="15" t="s">
        <v>1201</v>
      </c>
      <c r="C2000" s="19">
        <v>22</v>
      </c>
      <c r="D2000" s="19">
        <v>12671</v>
      </c>
      <c r="E2000" s="17">
        <v>8456</v>
      </c>
      <c r="F2000" s="18">
        <f t="shared" si="674"/>
        <v>0.66735064320101023</v>
      </c>
    </row>
    <row r="2001" spans="1:6" ht="15" customHeight="1" x14ac:dyDescent="0.25">
      <c r="A2001" s="15">
        <v>22</v>
      </c>
      <c r="B2001" s="15" t="s">
        <v>1202</v>
      </c>
      <c r="C2001" s="19">
        <v>26</v>
      </c>
      <c r="D2001" s="19">
        <v>14795</v>
      </c>
      <c r="E2001" s="17">
        <v>12264</v>
      </c>
      <c r="F2001" s="18">
        <f t="shared" si="674"/>
        <v>0.82892869212571818</v>
      </c>
    </row>
    <row r="2002" spans="1:6" ht="23.1" customHeight="1" x14ac:dyDescent="0.25">
      <c r="A2002" s="45"/>
      <c r="B2002" s="46" t="s">
        <v>1583</v>
      </c>
      <c r="C2002" s="14">
        <f>SUM(C2004+C2011+C2019)</f>
        <v>686</v>
      </c>
      <c r="D2002" s="14">
        <f>SUM(D2004+D2011+D2019)</f>
        <v>530526</v>
      </c>
      <c r="E2002" s="14">
        <f>SUM(E2004+E2011+E2019)</f>
        <v>376958</v>
      </c>
      <c r="F2002" s="13">
        <f t="shared" si="674"/>
        <v>0.71053633563670771</v>
      </c>
    </row>
    <row r="2003" spans="1:6" ht="23.1" customHeight="1" x14ac:dyDescent="0.25">
      <c r="A2003" s="45"/>
      <c r="B2003" s="46" t="s">
        <v>22</v>
      </c>
      <c r="C2003" s="14"/>
      <c r="D2003" s="14"/>
      <c r="E2003" s="14"/>
      <c r="F2003" s="13"/>
    </row>
    <row r="2004" spans="1:6" ht="23.1" customHeight="1" x14ac:dyDescent="0.25">
      <c r="A2004" s="45"/>
      <c r="B2004" s="46" t="s">
        <v>23</v>
      </c>
      <c r="C2004" s="29">
        <f>SUM(C2005:C2010)</f>
        <v>274</v>
      </c>
      <c r="D2004" s="29">
        <f>SUM(D2005:D2010)</f>
        <v>208290</v>
      </c>
      <c r="E2004" s="29">
        <f>SUM(E2005:E2010)</f>
        <v>177493</v>
      </c>
      <c r="F2004" s="13">
        <f t="shared" si="674"/>
        <v>0.85214364587834268</v>
      </c>
    </row>
    <row r="2005" spans="1:6" ht="15" customHeight="1" x14ac:dyDescent="0.25">
      <c r="A2005" s="45">
        <v>1</v>
      </c>
      <c r="B2005" s="45" t="s">
        <v>1203</v>
      </c>
      <c r="C2005" s="20">
        <v>28</v>
      </c>
      <c r="D2005" s="20">
        <v>19156</v>
      </c>
      <c r="E2005" s="17">
        <v>17294</v>
      </c>
      <c r="F2005" s="18">
        <f t="shared" si="674"/>
        <v>0.90279807893088326</v>
      </c>
    </row>
    <row r="2006" spans="1:6" ht="15" customHeight="1" x14ac:dyDescent="0.25">
      <c r="A2006" s="45">
        <v>2</v>
      </c>
      <c r="B2006" s="45" t="s">
        <v>1204</v>
      </c>
      <c r="C2006" s="20">
        <v>30</v>
      </c>
      <c r="D2006" s="20">
        <v>23025</v>
      </c>
      <c r="E2006" s="17">
        <v>19249</v>
      </c>
      <c r="F2006" s="18">
        <f t="shared" si="674"/>
        <v>0.83600434310532035</v>
      </c>
    </row>
    <row r="2007" spans="1:6" ht="15" customHeight="1" x14ac:dyDescent="0.25">
      <c r="A2007" s="45">
        <v>3</v>
      </c>
      <c r="B2007" s="45" t="s">
        <v>1584</v>
      </c>
      <c r="C2007" s="20">
        <v>27</v>
      </c>
      <c r="D2007" s="20">
        <v>20380</v>
      </c>
      <c r="E2007" s="17">
        <v>17446</v>
      </c>
      <c r="F2007" s="18">
        <f t="shared" si="674"/>
        <v>0.85603532875368005</v>
      </c>
    </row>
    <row r="2008" spans="1:6" ht="15" customHeight="1" x14ac:dyDescent="0.25">
      <c r="A2008" s="45">
        <v>4</v>
      </c>
      <c r="B2008" s="45" t="s">
        <v>1585</v>
      </c>
      <c r="C2008" s="20">
        <v>79</v>
      </c>
      <c r="D2008" s="20">
        <v>60367</v>
      </c>
      <c r="E2008" s="17">
        <v>48119</v>
      </c>
      <c r="F2008" s="18">
        <f t="shared" si="674"/>
        <v>0.79710769128828662</v>
      </c>
    </row>
    <row r="2009" spans="1:6" ht="15" customHeight="1" x14ac:dyDescent="0.25">
      <c r="A2009" s="45">
        <v>5</v>
      </c>
      <c r="B2009" s="45" t="s">
        <v>1524</v>
      </c>
      <c r="C2009" s="20">
        <v>81</v>
      </c>
      <c r="D2009" s="20">
        <v>63504</v>
      </c>
      <c r="E2009" s="17">
        <v>59821</v>
      </c>
      <c r="F2009" s="18">
        <f t="shared" si="674"/>
        <v>0.94200365331317715</v>
      </c>
    </row>
    <row r="2010" spans="1:6" ht="15" customHeight="1" x14ac:dyDescent="0.25">
      <c r="A2010" s="45">
        <v>6</v>
      </c>
      <c r="B2010" s="45" t="s">
        <v>1208</v>
      </c>
      <c r="C2010" s="20">
        <v>29</v>
      </c>
      <c r="D2010" s="20">
        <v>21858</v>
      </c>
      <c r="E2010" s="17">
        <v>15564</v>
      </c>
      <c r="F2010" s="18">
        <f t="shared" si="674"/>
        <v>0.71205050782322266</v>
      </c>
    </row>
    <row r="2011" spans="1:6" ht="23.1" customHeight="1" x14ac:dyDescent="0.25">
      <c r="A2011" s="45"/>
      <c r="B2011" s="46" t="s">
        <v>39</v>
      </c>
      <c r="C2011" s="29">
        <f>SUM(C2012:C2017)</f>
        <v>253</v>
      </c>
      <c r="D2011" s="29">
        <f>SUM(D2012:D2017)</f>
        <v>186237</v>
      </c>
      <c r="E2011" s="29">
        <f>SUM(E2012:E2017)</f>
        <v>109792</v>
      </c>
      <c r="F2011" s="13">
        <f t="shared" si="674"/>
        <v>0.58952839661291789</v>
      </c>
    </row>
    <row r="2012" spans="1:6" ht="15" customHeight="1" x14ac:dyDescent="0.25">
      <c r="A2012" s="45">
        <v>1</v>
      </c>
      <c r="B2012" s="45" t="s">
        <v>1205</v>
      </c>
      <c r="C2012" s="20">
        <v>21</v>
      </c>
      <c r="D2012" s="20">
        <v>13912</v>
      </c>
      <c r="E2012" s="17">
        <v>12907</v>
      </c>
      <c r="F2012" s="18">
        <f t="shared" si="674"/>
        <v>0.92776020701552619</v>
      </c>
    </row>
    <row r="2013" spans="1:6" ht="15" customHeight="1" x14ac:dyDescent="0.25">
      <c r="A2013" s="45">
        <v>2</v>
      </c>
      <c r="B2013" s="45" t="s">
        <v>1522</v>
      </c>
      <c r="C2013" s="20">
        <v>104</v>
      </c>
      <c r="D2013" s="20">
        <v>82586</v>
      </c>
      <c r="E2013" s="17">
        <v>31892</v>
      </c>
      <c r="F2013" s="18">
        <f t="shared" si="674"/>
        <v>0.3861671469740634</v>
      </c>
    </row>
    <row r="2014" spans="1:6" ht="15" customHeight="1" x14ac:dyDescent="0.25">
      <c r="A2014" s="45">
        <v>3</v>
      </c>
      <c r="B2014" s="45" t="s">
        <v>1523</v>
      </c>
      <c r="C2014" s="47">
        <v>19</v>
      </c>
      <c r="D2014" s="47">
        <v>12729</v>
      </c>
      <c r="E2014" s="17">
        <v>12239</v>
      </c>
      <c r="F2014" s="18">
        <f t="shared" si="674"/>
        <v>0.96150522429098906</v>
      </c>
    </row>
    <row r="2015" spans="1:6" ht="15" customHeight="1" x14ac:dyDescent="0.25">
      <c r="A2015" s="45">
        <v>4</v>
      </c>
      <c r="B2015" s="45" t="s">
        <v>1206</v>
      </c>
      <c r="C2015" s="48">
        <v>20</v>
      </c>
      <c r="D2015" s="48">
        <v>12951</v>
      </c>
      <c r="E2015" s="17">
        <v>9127</v>
      </c>
      <c r="F2015" s="18">
        <f t="shared" si="674"/>
        <v>0.70473322523357274</v>
      </c>
    </row>
    <row r="2016" spans="1:6" ht="15" customHeight="1" x14ac:dyDescent="0.25">
      <c r="A2016" s="45">
        <v>5</v>
      </c>
      <c r="B2016" s="45" t="s">
        <v>1224</v>
      </c>
      <c r="C2016" s="28">
        <v>22</v>
      </c>
      <c r="D2016" s="28">
        <v>16999</v>
      </c>
      <c r="E2016" s="28">
        <v>12492</v>
      </c>
      <c r="F2016" s="18">
        <f t="shared" si="674"/>
        <v>0.73486675686805103</v>
      </c>
    </row>
    <row r="2017" spans="1:6" ht="15" customHeight="1" x14ac:dyDescent="0.25">
      <c r="A2017" s="45">
        <v>6</v>
      </c>
      <c r="B2017" s="45" t="s">
        <v>1209</v>
      </c>
      <c r="C2017" s="20">
        <v>67</v>
      </c>
      <c r="D2017" s="20">
        <v>47060</v>
      </c>
      <c r="E2017" s="17">
        <v>31135</v>
      </c>
      <c r="F2017" s="18">
        <f t="shared" si="674"/>
        <v>0.66160220994475138</v>
      </c>
    </row>
    <row r="2018" spans="1:6" ht="15" customHeight="1" x14ac:dyDescent="0.25">
      <c r="A2018" s="45"/>
      <c r="B2018" s="45"/>
      <c r="C2018" s="20"/>
      <c r="D2018" s="20"/>
      <c r="E2018" s="17"/>
      <c r="F2018" s="18"/>
    </row>
    <row r="2019" spans="1:6" ht="23.1" customHeight="1" x14ac:dyDescent="0.25">
      <c r="A2019" s="46"/>
      <c r="B2019" s="49" t="s">
        <v>1525</v>
      </c>
      <c r="C2019" s="29">
        <v>159</v>
      </c>
      <c r="D2019" s="29">
        <v>135999</v>
      </c>
      <c r="E2019" s="41">
        <v>89673</v>
      </c>
      <c r="F2019" s="13">
        <f t="shared" si="674"/>
        <v>0.65936514239075283</v>
      </c>
    </row>
    <row r="2020" spans="1:6" ht="15" customHeight="1" x14ac:dyDescent="0.25">
      <c r="A2020" s="46"/>
      <c r="B2020" s="49"/>
      <c r="C2020" s="29"/>
      <c r="D2020" s="29"/>
      <c r="E2020" s="41"/>
      <c r="F2020" s="13"/>
    </row>
    <row r="2021" spans="1:6" ht="23.1" customHeight="1" x14ac:dyDescent="0.25">
      <c r="A2021" s="45"/>
      <c r="B2021" s="46" t="s">
        <v>1586</v>
      </c>
      <c r="C2021" s="29">
        <f>SUM(C2023+C2036)</f>
        <v>610</v>
      </c>
      <c r="D2021" s="29">
        <f>SUM(D2023+D2036)</f>
        <v>451687</v>
      </c>
      <c r="E2021" s="29">
        <f>SUM(E2023+E2036)</f>
        <v>354068</v>
      </c>
      <c r="F2021" s="13">
        <f t="shared" si="674"/>
        <v>0.78387910212160195</v>
      </c>
    </row>
    <row r="2022" spans="1:6" ht="23.1" customHeight="1" x14ac:dyDescent="0.25">
      <c r="A2022" s="45"/>
      <c r="B2022" s="46" t="s">
        <v>22</v>
      </c>
      <c r="C2022" s="20"/>
      <c r="D2022" s="20"/>
      <c r="E2022" s="17"/>
      <c r="F2022" s="18" t="e">
        <f t="shared" si="674"/>
        <v>#DIV/0!</v>
      </c>
    </row>
    <row r="2023" spans="1:6" ht="23.1" customHeight="1" x14ac:dyDescent="0.25">
      <c r="A2023" s="45"/>
      <c r="B2023" s="46" t="s">
        <v>23</v>
      </c>
      <c r="C2023" s="29">
        <f>SUM(C2024:C2035)</f>
        <v>276</v>
      </c>
      <c r="D2023" s="29">
        <f>SUM(D2024:D2035)</f>
        <v>202684</v>
      </c>
      <c r="E2023" s="29">
        <f>SUM(E2024:E2035)</f>
        <v>159346</v>
      </c>
      <c r="F2023" s="13">
        <f t="shared" si="674"/>
        <v>0.78617947149256973</v>
      </c>
    </row>
    <row r="2024" spans="1:6" ht="15" customHeight="1" x14ac:dyDescent="0.25">
      <c r="A2024" s="45">
        <v>1</v>
      </c>
      <c r="B2024" s="45" t="s">
        <v>1213</v>
      </c>
      <c r="C2024" s="20">
        <v>22</v>
      </c>
      <c r="D2024" s="20">
        <v>17498</v>
      </c>
      <c r="E2024" s="17">
        <v>17189</v>
      </c>
      <c r="F2024" s="18">
        <f t="shared" si="674"/>
        <v>0.98234083895302315</v>
      </c>
    </row>
    <row r="2025" spans="1:6" ht="15" customHeight="1" x14ac:dyDescent="0.3">
      <c r="A2025" s="45">
        <v>2</v>
      </c>
      <c r="B2025" s="50" t="s">
        <v>1226</v>
      </c>
      <c r="C2025" s="20">
        <v>14</v>
      </c>
      <c r="D2025" s="20">
        <v>11170</v>
      </c>
      <c r="E2025" s="17">
        <v>10087</v>
      </c>
      <c r="F2025" s="18">
        <f t="shared" si="674"/>
        <v>0.90304386750223808</v>
      </c>
    </row>
    <row r="2026" spans="1:6" ht="15" customHeight="1" x14ac:dyDescent="0.25">
      <c r="A2026" s="45">
        <v>3</v>
      </c>
      <c r="B2026" s="45" t="s">
        <v>1587</v>
      </c>
      <c r="C2026" s="20">
        <v>25</v>
      </c>
      <c r="D2026" s="20">
        <v>19290</v>
      </c>
      <c r="E2026" s="17">
        <v>9263</v>
      </c>
      <c r="F2026" s="18">
        <f t="shared" ref="F2026:F2049" si="675">SUM(E2026/D2026)</f>
        <v>0.48019699326075688</v>
      </c>
    </row>
    <row r="2027" spans="1:6" ht="15" customHeight="1" x14ac:dyDescent="0.3">
      <c r="A2027" s="45">
        <v>4</v>
      </c>
      <c r="B2027" s="50" t="s">
        <v>1225</v>
      </c>
      <c r="C2027" s="20">
        <v>26</v>
      </c>
      <c r="D2027" s="20">
        <v>14900</v>
      </c>
      <c r="E2027" s="17">
        <v>6671</v>
      </c>
      <c r="F2027" s="18">
        <f t="shared" si="675"/>
        <v>0.4477181208053691</v>
      </c>
    </row>
    <row r="2028" spans="1:6" ht="15" customHeight="1" x14ac:dyDescent="0.25">
      <c r="A2028" s="45">
        <v>5</v>
      </c>
      <c r="B2028" s="45" t="s">
        <v>1214</v>
      </c>
      <c r="C2028" s="20">
        <v>26</v>
      </c>
      <c r="D2028" s="20">
        <v>20573</v>
      </c>
      <c r="E2028" s="17">
        <v>15309</v>
      </c>
      <c r="F2028" s="18">
        <f t="shared" si="675"/>
        <v>0.74413065668594758</v>
      </c>
    </row>
    <row r="2029" spans="1:6" ht="15" customHeight="1" x14ac:dyDescent="0.25">
      <c r="A2029" s="45">
        <v>6</v>
      </c>
      <c r="B2029" s="45" t="s">
        <v>1215</v>
      </c>
      <c r="C2029" s="20">
        <v>15</v>
      </c>
      <c r="D2029" s="20">
        <v>11012</v>
      </c>
      <c r="E2029" s="17">
        <v>10195</v>
      </c>
      <c r="F2029" s="18">
        <f t="shared" si="675"/>
        <v>0.92580820922629858</v>
      </c>
    </row>
    <row r="2030" spans="1:6" ht="15" customHeight="1" x14ac:dyDescent="0.25">
      <c r="A2030" s="45">
        <v>7</v>
      </c>
      <c r="B2030" s="45" t="s">
        <v>1216</v>
      </c>
      <c r="C2030" s="20">
        <v>18</v>
      </c>
      <c r="D2030" s="20">
        <v>13547</v>
      </c>
      <c r="E2030" s="17">
        <v>11583</v>
      </c>
      <c r="F2030" s="18">
        <f t="shared" si="675"/>
        <v>0.85502325238060084</v>
      </c>
    </row>
    <row r="2031" spans="1:6" ht="15" customHeight="1" x14ac:dyDescent="0.25">
      <c r="A2031" s="45">
        <v>8</v>
      </c>
      <c r="B2031" s="45" t="s">
        <v>1588</v>
      </c>
      <c r="C2031" s="20">
        <v>22</v>
      </c>
      <c r="D2031" s="20">
        <v>16248</v>
      </c>
      <c r="E2031" s="17">
        <v>15144</v>
      </c>
      <c r="F2031" s="18">
        <f t="shared" si="675"/>
        <v>0.93205317577548008</v>
      </c>
    </row>
    <row r="2032" spans="1:6" ht="15" customHeight="1" x14ac:dyDescent="0.25">
      <c r="A2032" s="45">
        <v>9</v>
      </c>
      <c r="B2032" s="45" t="s">
        <v>1526</v>
      </c>
      <c r="C2032" s="20">
        <v>26</v>
      </c>
      <c r="D2032" s="20">
        <v>17711</v>
      </c>
      <c r="E2032" s="17">
        <v>16812</v>
      </c>
      <c r="F2032" s="18">
        <f t="shared" si="675"/>
        <v>0.94924058494720798</v>
      </c>
    </row>
    <row r="2033" spans="1:6" ht="15" customHeight="1" x14ac:dyDescent="0.3">
      <c r="A2033" s="45">
        <v>10</v>
      </c>
      <c r="B2033" s="50" t="s">
        <v>1589</v>
      </c>
      <c r="C2033" s="20">
        <v>16</v>
      </c>
      <c r="D2033" s="20">
        <v>10288</v>
      </c>
      <c r="E2033" s="17">
        <v>9775</v>
      </c>
      <c r="F2033" s="18">
        <f t="shared" si="675"/>
        <v>0.95013608087091761</v>
      </c>
    </row>
    <row r="2034" spans="1:6" ht="15" customHeight="1" x14ac:dyDescent="0.25">
      <c r="A2034" s="45">
        <v>11</v>
      </c>
      <c r="B2034" s="45" t="s">
        <v>1222</v>
      </c>
      <c r="C2034" s="20">
        <v>41</v>
      </c>
      <c r="D2034" s="20">
        <v>31886</v>
      </c>
      <c r="E2034" s="17">
        <v>19102</v>
      </c>
      <c r="F2034" s="18">
        <f t="shared" si="675"/>
        <v>0.5990716929059775</v>
      </c>
    </row>
    <row r="2035" spans="1:6" ht="15" customHeight="1" x14ac:dyDescent="0.25">
      <c r="A2035" s="45">
        <v>12</v>
      </c>
      <c r="B2035" s="45" t="s">
        <v>1223</v>
      </c>
      <c r="C2035" s="20">
        <v>25</v>
      </c>
      <c r="D2035" s="20">
        <v>18561</v>
      </c>
      <c r="E2035" s="17">
        <v>18216</v>
      </c>
      <c r="F2035" s="18">
        <f t="shared" si="675"/>
        <v>0.98141263940520451</v>
      </c>
    </row>
    <row r="2036" spans="1:6" ht="23.1" customHeight="1" x14ac:dyDescent="0.25">
      <c r="A2036" s="45"/>
      <c r="B2036" s="46" t="s">
        <v>39</v>
      </c>
      <c r="C2036" s="29">
        <f>SUM(C2037:C2048)</f>
        <v>334</v>
      </c>
      <c r="D2036" s="29">
        <f>SUM(D2037:D2048)</f>
        <v>249003</v>
      </c>
      <c r="E2036" s="29">
        <f>SUM(E2037:E2048)</f>
        <v>194722</v>
      </c>
      <c r="F2036" s="13">
        <f t="shared" si="675"/>
        <v>0.78200664249025109</v>
      </c>
    </row>
    <row r="2037" spans="1:6" ht="15" customHeight="1" x14ac:dyDescent="0.25">
      <c r="A2037" s="45">
        <v>1</v>
      </c>
      <c r="B2037" s="45" t="s">
        <v>1210</v>
      </c>
      <c r="C2037" s="20">
        <v>29</v>
      </c>
      <c r="D2037" s="20">
        <v>22810</v>
      </c>
      <c r="E2037" s="17">
        <v>18531</v>
      </c>
      <c r="F2037" s="18">
        <f t="shared" si="675"/>
        <v>0.81240683910565537</v>
      </c>
    </row>
    <row r="2038" spans="1:6" ht="15" customHeight="1" x14ac:dyDescent="0.25">
      <c r="A2038" s="45">
        <v>2</v>
      </c>
      <c r="B2038" s="45" t="s">
        <v>1211</v>
      </c>
      <c r="C2038" s="20">
        <v>29</v>
      </c>
      <c r="D2038" s="20">
        <v>24078</v>
      </c>
      <c r="E2038" s="17">
        <v>13837</v>
      </c>
      <c r="F2038" s="18">
        <f t="shared" si="675"/>
        <v>0.57467397624387406</v>
      </c>
    </row>
    <row r="2039" spans="1:6" ht="15" customHeight="1" x14ac:dyDescent="0.25">
      <c r="A2039" s="45">
        <v>3</v>
      </c>
      <c r="B2039" s="45" t="s">
        <v>1212</v>
      </c>
      <c r="C2039" s="20">
        <v>41</v>
      </c>
      <c r="D2039" s="20">
        <v>33228</v>
      </c>
      <c r="E2039" s="17">
        <v>31842</v>
      </c>
      <c r="F2039" s="18">
        <f t="shared" si="675"/>
        <v>0.95828819068255688</v>
      </c>
    </row>
    <row r="2040" spans="1:6" ht="15" customHeight="1" x14ac:dyDescent="0.25">
      <c r="A2040" s="45">
        <v>4</v>
      </c>
      <c r="B2040" s="45" t="s">
        <v>1590</v>
      </c>
      <c r="C2040" s="20">
        <v>35</v>
      </c>
      <c r="D2040" s="20">
        <v>24932</v>
      </c>
      <c r="E2040" s="17">
        <v>16892</v>
      </c>
      <c r="F2040" s="18">
        <f t="shared" si="675"/>
        <v>0.67752286218514357</v>
      </c>
    </row>
    <row r="2041" spans="1:6" ht="15" customHeight="1" x14ac:dyDescent="0.25">
      <c r="A2041" s="45">
        <v>5</v>
      </c>
      <c r="B2041" s="45" t="s">
        <v>1591</v>
      </c>
      <c r="C2041" s="20">
        <v>34</v>
      </c>
      <c r="D2041" s="20">
        <v>21326</v>
      </c>
      <c r="E2041" s="17">
        <v>19644</v>
      </c>
      <c r="F2041" s="18">
        <f t="shared" si="675"/>
        <v>0.92112913814123609</v>
      </c>
    </row>
    <row r="2042" spans="1:6" ht="15" customHeight="1" x14ac:dyDescent="0.25">
      <c r="A2042" s="45">
        <v>6</v>
      </c>
      <c r="B2042" s="45" t="s">
        <v>1217</v>
      </c>
      <c r="C2042" s="20">
        <v>17</v>
      </c>
      <c r="D2042" s="20">
        <v>12992</v>
      </c>
      <c r="E2042" s="17">
        <v>12310</v>
      </c>
      <c r="F2042" s="18">
        <f t="shared" si="675"/>
        <v>0.94750615763546797</v>
      </c>
    </row>
    <row r="2043" spans="1:6" ht="18" customHeight="1" x14ac:dyDescent="0.25">
      <c r="A2043" s="45">
        <v>7</v>
      </c>
      <c r="B2043" s="45" t="s">
        <v>1218</v>
      </c>
      <c r="C2043" s="28">
        <v>29</v>
      </c>
      <c r="D2043" s="28">
        <v>21472</v>
      </c>
      <c r="E2043" s="28">
        <v>19089</v>
      </c>
      <c r="F2043" s="18">
        <f t="shared" si="675"/>
        <v>0.88901825633383014</v>
      </c>
    </row>
    <row r="2044" spans="1:6" ht="18" customHeight="1" x14ac:dyDescent="0.25">
      <c r="A2044" s="45">
        <v>8</v>
      </c>
      <c r="B2044" s="45" t="s">
        <v>1592</v>
      </c>
      <c r="C2044" s="28">
        <v>36</v>
      </c>
      <c r="D2044" s="28">
        <v>28609</v>
      </c>
      <c r="E2044" s="28">
        <v>23784</v>
      </c>
      <c r="F2044" s="18">
        <f t="shared" si="675"/>
        <v>0.83134677898563392</v>
      </c>
    </row>
    <row r="2045" spans="1:6" ht="15" customHeight="1" x14ac:dyDescent="0.25">
      <c r="A2045" s="45">
        <v>9</v>
      </c>
      <c r="B2045" s="45" t="s">
        <v>1219</v>
      </c>
      <c r="C2045" s="20">
        <v>16</v>
      </c>
      <c r="D2045" s="20">
        <v>11638</v>
      </c>
      <c r="E2045" s="17">
        <v>8104</v>
      </c>
      <c r="F2045" s="18">
        <f t="shared" si="675"/>
        <v>0.69633957724694961</v>
      </c>
    </row>
    <row r="2046" spans="1:6" ht="15" customHeight="1" x14ac:dyDescent="0.25">
      <c r="A2046" s="45">
        <v>10</v>
      </c>
      <c r="B2046" s="45" t="s">
        <v>1220</v>
      </c>
      <c r="C2046" s="20">
        <v>22</v>
      </c>
      <c r="D2046" s="20">
        <v>16226</v>
      </c>
      <c r="E2046" s="17">
        <v>9067</v>
      </c>
      <c r="F2046" s="18">
        <f t="shared" si="675"/>
        <v>0.55879452730186119</v>
      </c>
    </row>
    <row r="2047" spans="1:6" ht="15" customHeight="1" x14ac:dyDescent="0.25">
      <c r="A2047" s="45">
        <v>11</v>
      </c>
      <c r="B2047" s="45" t="s">
        <v>1221</v>
      </c>
      <c r="C2047" s="20">
        <v>21</v>
      </c>
      <c r="D2047" s="20">
        <v>14731</v>
      </c>
      <c r="E2047" s="17">
        <v>10082</v>
      </c>
      <c r="F2047" s="18">
        <f t="shared" si="675"/>
        <v>0.68440703278799808</v>
      </c>
    </row>
    <row r="2048" spans="1:6" ht="18.75" customHeight="1" x14ac:dyDescent="0.25">
      <c r="A2048" s="51">
        <v>12</v>
      </c>
      <c r="B2048" s="51" t="s">
        <v>1527</v>
      </c>
      <c r="C2048" s="36">
        <v>25</v>
      </c>
      <c r="D2048" s="36">
        <v>16961</v>
      </c>
      <c r="E2048" s="37">
        <v>11540</v>
      </c>
      <c r="F2048" s="38">
        <f t="shared" si="675"/>
        <v>0.68038441129650373</v>
      </c>
    </row>
    <row r="2049" spans="1:6" ht="23.1" customHeight="1" x14ac:dyDescent="0.25">
      <c r="A2049" s="22"/>
      <c r="B2049" s="22" t="s">
        <v>1243</v>
      </c>
      <c r="C2049" s="21">
        <f>SUM(C2051+C2058)</f>
        <v>368</v>
      </c>
      <c r="D2049" s="21">
        <f t="shared" ref="D2049:E2049" si="676">SUM(D2051+D2058)</f>
        <v>255632</v>
      </c>
      <c r="E2049" s="21">
        <f t="shared" si="676"/>
        <v>202320</v>
      </c>
      <c r="F2049" s="39">
        <f t="shared" si="675"/>
        <v>0.79145020967640989</v>
      </c>
    </row>
    <row r="2050" spans="1:6" ht="23.1" customHeight="1" x14ac:dyDescent="0.25">
      <c r="A2050" s="22"/>
      <c r="B2050" s="22" t="s">
        <v>22</v>
      </c>
      <c r="C2050" s="16"/>
      <c r="D2050" s="16"/>
      <c r="E2050" s="40"/>
      <c r="F2050" s="52"/>
    </row>
    <row r="2051" spans="1:6" ht="23.1" customHeight="1" x14ac:dyDescent="0.25">
      <c r="A2051" s="22"/>
      <c r="B2051" s="22" t="s">
        <v>23</v>
      </c>
      <c r="C2051" s="21">
        <f>SUM(C2052:C2057)</f>
        <v>211</v>
      </c>
      <c r="D2051" s="21">
        <f>SUM(D2052:D2057)</f>
        <v>161621</v>
      </c>
      <c r="E2051" s="21">
        <f>SUM(E2052:E2057)</f>
        <v>121004</v>
      </c>
      <c r="F2051" s="39">
        <f t="shared" ref="F2051:F2074" si="677">SUM(E2051/D2051)</f>
        <v>0.74868983609803186</v>
      </c>
    </row>
    <row r="2052" spans="1:6" ht="18.75" customHeight="1" x14ac:dyDescent="0.25">
      <c r="A2052" s="15">
        <v>1</v>
      </c>
      <c r="B2052" s="15" t="s">
        <v>1531</v>
      </c>
      <c r="C2052" s="16">
        <v>91</v>
      </c>
      <c r="D2052" s="16">
        <v>69754</v>
      </c>
      <c r="E2052" s="40">
        <v>53784</v>
      </c>
      <c r="F2052" s="38">
        <f t="shared" si="677"/>
        <v>0.77105255612581358</v>
      </c>
    </row>
    <row r="2053" spans="1:6" ht="18.75" customHeight="1" x14ac:dyDescent="0.25">
      <c r="A2053" s="15">
        <v>2</v>
      </c>
      <c r="B2053" s="15" t="s">
        <v>1532</v>
      </c>
      <c r="C2053" s="16">
        <v>30</v>
      </c>
      <c r="D2053" s="16">
        <v>19996</v>
      </c>
      <c r="E2053" s="40">
        <v>15075</v>
      </c>
      <c r="F2053" s="38">
        <f t="shared" si="677"/>
        <v>0.75390078015603124</v>
      </c>
    </row>
    <row r="2054" spans="1:6" ht="18.75" customHeight="1" x14ac:dyDescent="0.25">
      <c r="A2054" s="15">
        <v>3</v>
      </c>
      <c r="B2054" s="15" t="s">
        <v>1244</v>
      </c>
      <c r="C2054" s="16">
        <v>25</v>
      </c>
      <c r="D2054" s="16">
        <v>19100</v>
      </c>
      <c r="E2054" s="40">
        <v>14762</v>
      </c>
      <c r="F2054" s="38">
        <f t="shared" si="677"/>
        <v>0.77287958115183242</v>
      </c>
    </row>
    <row r="2055" spans="1:6" ht="18.75" customHeight="1" x14ac:dyDescent="0.25">
      <c r="A2055" s="15">
        <v>4</v>
      </c>
      <c r="B2055" s="15" t="s">
        <v>1245</v>
      </c>
      <c r="C2055" s="16">
        <v>23</v>
      </c>
      <c r="D2055" s="16">
        <v>16619</v>
      </c>
      <c r="E2055" s="40">
        <v>13191</v>
      </c>
      <c r="F2055" s="38">
        <f t="shared" si="677"/>
        <v>0.79373006799446422</v>
      </c>
    </row>
    <row r="2056" spans="1:6" ht="18.75" customHeight="1" x14ac:dyDescent="0.25">
      <c r="A2056" s="15">
        <v>5</v>
      </c>
      <c r="B2056" s="15" t="s">
        <v>1246</v>
      </c>
      <c r="C2056" s="16">
        <v>32</v>
      </c>
      <c r="D2056" s="16">
        <v>27418</v>
      </c>
      <c r="E2056" s="40">
        <v>17760</v>
      </c>
      <c r="F2056" s="38">
        <f t="shared" si="677"/>
        <v>0.64774965351229119</v>
      </c>
    </row>
    <row r="2057" spans="1:6" ht="18.75" customHeight="1" x14ac:dyDescent="0.25">
      <c r="A2057" s="15">
        <v>6</v>
      </c>
      <c r="B2057" s="15" t="s">
        <v>1247</v>
      </c>
      <c r="C2057" s="16">
        <v>10</v>
      </c>
      <c r="D2057" s="16">
        <v>8734</v>
      </c>
      <c r="E2057" s="40">
        <v>6432</v>
      </c>
      <c r="F2057" s="38">
        <f t="shared" si="677"/>
        <v>0.73643233340966341</v>
      </c>
    </row>
    <row r="2058" spans="1:6" ht="23.1" customHeight="1" x14ac:dyDescent="0.25">
      <c r="A2058" s="22"/>
      <c r="B2058" s="22" t="s">
        <v>39</v>
      </c>
      <c r="C2058" s="21">
        <f>SUM(C2059:C2063)</f>
        <v>157</v>
      </c>
      <c r="D2058" s="21">
        <f>SUM(D2059:D2063)</f>
        <v>94011</v>
      </c>
      <c r="E2058" s="68">
        <f>SUM(E2059:E2063)</f>
        <v>81316</v>
      </c>
      <c r="F2058" s="39">
        <f t="shared" si="677"/>
        <v>0.86496261075831549</v>
      </c>
    </row>
    <row r="2059" spans="1:6" ht="18.75" customHeight="1" x14ac:dyDescent="0.25">
      <c r="A2059" s="15">
        <v>1</v>
      </c>
      <c r="B2059" s="15" t="s">
        <v>1248</v>
      </c>
      <c r="C2059" s="16">
        <v>34</v>
      </c>
      <c r="D2059" s="16">
        <v>21892</v>
      </c>
      <c r="E2059" s="40">
        <v>20749</v>
      </c>
      <c r="F2059" s="38">
        <f t="shared" si="677"/>
        <v>0.94778914672026315</v>
      </c>
    </row>
    <row r="2060" spans="1:6" ht="18.75" customHeight="1" x14ac:dyDescent="0.25">
      <c r="A2060" s="15">
        <v>2</v>
      </c>
      <c r="B2060" s="15" t="s">
        <v>1533</v>
      </c>
      <c r="C2060" s="16">
        <v>27</v>
      </c>
      <c r="D2060" s="16">
        <v>19493</v>
      </c>
      <c r="E2060" s="40">
        <v>12925</v>
      </c>
      <c r="F2060" s="38">
        <f t="shared" si="677"/>
        <v>0.66305853383265789</v>
      </c>
    </row>
    <row r="2061" spans="1:6" ht="18.75" customHeight="1" x14ac:dyDescent="0.25">
      <c r="A2061" s="15">
        <v>3</v>
      </c>
      <c r="B2061" s="15" t="s">
        <v>1249</v>
      </c>
      <c r="C2061" s="16">
        <v>37</v>
      </c>
      <c r="D2061" s="16">
        <v>22022</v>
      </c>
      <c r="E2061" s="40">
        <v>21566</v>
      </c>
      <c r="F2061" s="38">
        <f t="shared" si="677"/>
        <v>0.97929343383888834</v>
      </c>
    </row>
    <row r="2062" spans="1:6" ht="18.75" customHeight="1" x14ac:dyDescent="0.25">
      <c r="A2062" s="15">
        <v>4</v>
      </c>
      <c r="B2062" s="15" t="s">
        <v>1250</v>
      </c>
      <c r="C2062" s="16">
        <v>32</v>
      </c>
      <c r="D2062" s="16">
        <v>15199</v>
      </c>
      <c r="E2062" s="40">
        <v>13796</v>
      </c>
      <c r="F2062" s="38">
        <f t="shared" si="677"/>
        <v>0.90769129547996574</v>
      </c>
    </row>
    <row r="2063" spans="1:6" ht="18.75" customHeight="1" x14ac:dyDescent="0.25">
      <c r="A2063" s="15">
        <v>5</v>
      </c>
      <c r="B2063" s="35" t="s">
        <v>1251</v>
      </c>
      <c r="C2063" s="69">
        <v>27</v>
      </c>
      <c r="D2063" s="69">
        <v>15405</v>
      </c>
      <c r="E2063" s="70">
        <v>12280</v>
      </c>
      <c r="F2063" s="38">
        <f t="shared" si="677"/>
        <v>0.79714378448555667</v>
      </c>
    </row>
    <row r="2064" spans="1:6" ht="17.25" customHeight="1" x14ac:dyDescent="0.25">
      <c r="A2064" s="15"/>
      <c r="B2064" s="15"/>
      <c r="C2064" s="16"/>
      <c r="D2064" s="16"/>
      <c r="E2064" s="40"/>
      <c r="F2064" s="18"/>
    </row>
    <row r="2065" spans="1:6" ht="36" customHeight="1" x14ac:dyDescent="0.25">
      <c r="A2065" s="1"/>
      <c r="B2065" s="72" t="s">
        <v>1593</v>
      </c>
      <c r="C2065" s="21">
        <f>SUM(C2066:C2074)</f>
        <v>154</v>
      </c>
      <c r="D2065" s="21">
        <f>SUM(D2066:D2074)</f>
        <v>118463</v>
      </c>
      <c r="E2065" s="68">
        <f>SUM(E2066:E2074)</f>
        <v>89643</v>
      </c>
      <c r="F2065" s="13">
        <f t="shared" si="677"/>
        <v>0.75671728725424814</v>
      </c>
    </row>
    <row r="2066" spans="1:6" ht="17.25" customHeight="1" x14ac:dyDescent="0.25">
      <c r="A2066" s="1"/>
      <c r="B2066" s="2"/>
      <c r="C2066" s="16"/>
      <c r="D2066" s="16"/>
      <c r="E2066" s="40"/>
      <c r="F2066" s="18" t="e">
        <f t="shared" si="677"/>
        <v>#DIV/0!</v>
      </c>
    </row>
    <row r="2067" spans="1:6" ht="17.25" customHeight="1" x14ac:dyDescent="0.25">
      <c r="A2067" s="1">
        <v>1</v>
      </c>
      <c r="B2067" s="2" t="s">
        <v>1594</v>
      </c>
      <c r="C2067" s="16">
        <v>14</v>
      </c>
      <c r="D2067" s="16">
        <v>11244</v>
      </c>
      <c r="E2067" s="40">
        <v>8457</v>
      </c>
      <c r="F2067" s="18">
        <f t="shared" si="677"/>
        <v>0.75213447171824976</v>
      </c>
    </row>
    <row r="2068" spans="1:6" ht="17.25" customHeight="1" x14ac:dyDescent="0.25">
      <c r="A2068" s="1">
        <v>2</v>
      </c>
      <c r="B2068" s="2" t="s">
        <v>1595</v>
      </c>
      <c r="C2068" s="16">
        <v>21</v>
      </c>
      <c r="D2068" s="16">
        <v>16794</v>
      </c>
      <c r="E2068" s="40">
        <v>12718</v>
      </c>
      <c r="F2068" s="18">
        <f t="shared" si="677"/>
        <v>0.7572942717637251</v>
      </c>
    </row>
    <row r="2069" spans="1:6" ht="17.25" customHeight="1" x14ac:dyDescent="0.25">
      <c r="A2069" s="1">
        <v>3</v>
      </c>
      <c r="B2069" s="2" t="s">
        <v>1596</v>
      </c>
      <c r="C2069" s="16">
        <v>23</v>
      </c>
      <c r="D2069" s="16">
        <v>19167</v>
      </c>
      <c r="E2069" s="40">
        <v>17598</v>
      </c>
      <c r="F2069" s="18">
        <f t="shared" si="677"/>
        <v>0.91814055407732043</v>
      </c>
    </row>
    <row r="2070" spans="1:6" ht="17.25" customHeight="1" x14ac:dyDescent="0.25">
      <c r="A2070" s="1">
        <v>4</v>
      </c>
      <c r="B2070" s="2" t="s">
        <v>1597</v>
      </c>
      <c r="C2070" s="16">
        <v>24</v>
      </c>
      <c r="D2070" s="16">
        <v>19242</v>
      </c>
      <c r="E2070" s="40">
        <v>11762</v>
      </c>
      <c r="F2070" s="18">
        <f t="shared" si="677"/>
        <v>0.61126702006028477</v>
      </c>
    </row>
    <row r="2071" spans="1:6" ht="17.25" customHeight="1" x14ac:dyDescent="0.25">
      <c r="A2071" s="1">
        <v>5</v>
      </c>
      <c r="B2071" s="2" t="s">
        <v>1598</v>
      </c>
      <c r="C2071" s="16">
        <v>20</v>
      </c>
      <c r="D2071" s="16">
        <v>12714</v>
      </c>
      <c r="E2071" s="40">
        <v>9513</v>
      </c>
      <c r="F2071" s="18">
        <f t="shared" si="677"/>
        <v>0.74823029731005186</v>
      </c>
    </row>
    <row r="2072" spans="1:6" ht="17.25" customHeight="1" x14ac:dyDescent="0.25">
      <c r="A2072" s="1">
        <v>6</v>
      </c>
      <c r="B2072" s="2" t="s">
        <v>1599</v>
      </c>
      <c r="C2072" s="16">
        <v>14</v>
      </c>
      <c r="D2072" s="16">
        <v>10029</v>
      </c>
      <c r="E2072" s="40">
        <v>8258</v>
      </c>
      <c r="F2072" s="18">
        <f t="shared" si="677"/>
        <v>0.82341210489580219</v>
      </c>
    </row>
    <row r="2073" spans="1:6" ht="17.25" customHeight="1" x14ac:dyDescent="0.25">
      <c r="A2073" s="1">
        <v>7</v>
      </c>
      <c r="B2073" s="2" t="s">
        <v>1600</v>
      </c>
      <c r="C2073" s="16">
        <v>18</v>
      </c>
      <c r="D2073" s="16">
        <v>12659</v>
      </c>
      <c r="E2073" s="40">
        <v>11027</v>
      </c>
      <c r="F2073" s="18">
        <f t="shared" si="677"/>
        <v>0.87107986412828819</v>
      </c>
    </row>
    <row r="2074" spans="1:6" ht="17.25" customHeight="1" x14ac:dyDescent="0.25">
      <c r="A2074" s="1">
        <v>8</v>
      </c>
      <c r="B2074" s="2" t="s">
        <v>1601</v>
      </c>
      <c r="C2074" s="16">
        <v>20</v>
      </c>
      <c r="D2074" s="16">
        <v>16614</v>
      </c>
      <c r="E2074" s="40">
        <v>10310</v>
      </c>
      <c r="F2074" s="18">
        <f t="shared" si="677"/>
        <v>0.62056097267364874</v>
      </c>
    </row>
  </sheetData>
  <sortState xmlns:xlrd2="http://schemas.microsoft.com/office/spreadsheetml/2017/richdata2" ref="B2010:F2021">
    <sortCondition ref="B2010"/>
  </sortState>
  <mergeCells count="45">
    <mergeCell ref="A6:F6"/>
    <mergeCell ref="A5:F5"/>
    <mergeCell ref="A3:F3"/>
    <mergeCell ref="A10:B12"/>
    <mergeCell ref="D10:D12"/>
    <mergeCell ref="F10:F12"/>
    <mergeCell ref="C10:C12"/>
    <mergeCell ref="E10:E12"/>
    <mergeCell ref="A2:F2"/>
    <mergeCell ref="A1:F1"/>
    <mergeCell ref="A1200:B1200"/>
    <mergeCell ref="A56:B56"/>
    <mergeCell ref="A421:B421"/>
    <mergeCell ref="A585:B585"/>
    <mergeCell ref="A765:B765"/>
    <mergeCell ref="A858:B858"/>
    <mergeCell ref="A997:B997"/>
    <mergeCell ref="A57:B57"/>
    <mergeCell ref="A58:B58"/>
    <mergeCell ref="A59:B59"/>
    <mergeCell ref="A162:B162"/>
    <mergeCell ref="A304:B304"/>
    <mergeCell ref="A13:B13"/>
    <mergeCell ref="A14:B14"/>
    <mergeCell ref="A54:B54"/>
    <mergeCell ref="A1941:B1941"/>
    <mergeCell ref="A1319:B1319"/>
    <mergeCell ref="A1486:B1486"/>
    <mergeCell ref="A1593:B1593"/>
    <mergeCell ref="A1709:B1709"/>
    <mergeCell ref="A1783:B1783"/>
    <mergeCell ref="A1849:B1849"/>
    <mergeCell ref="A55:B55"/>
    <mergeCell ref="A53:B53"/>
    <mergeCell ref="A39:B39"/>
    <mergeCell ref="A42:B42"/>
    <mergeCell ref="A45:B45"/>
    <mergeCell ref="A15:B15"/>
    <mergeCell ref="A22:B22"/>
    <mergeCell ref="A48:B48"/>
    <mergeCell ref="A29:B29"/>
    <mergeCell ref="A51:B51"/>
    <mergeCell ref="A33:B33"/>
    <mergeCell ref="A52:B52"/>
    <mergeCell ref="A36:B36"/>
  </mergeCells>
  <printOptions horizontalCentered="1"/>
  <pageMargins left="0.62992125984251968" right="0.23622047244094491" top="0.98425196850393704" bottom="1.4960629921259843" header="0.31496062992125984" footer="1.2598425196850394"/>
  <pageSetup paperSize="256" orientation="portrait" r:id="rId1"/>
  <headerFooter>
    <oddFooter>&amp;C&amp;"Tahoma,Regular"&amp;8page &amp;P of &amp;N&amp;R&amp;"Tahoma,Regular"&amp;8&amp;D</oddFooter>
  </headerFooter>
  <rowBreaks count="17" manualBreakCount="17">
    <brk id="58" max="16383" man="1"/>
    <brk id="161" max="16383" man="1"/>
    <brk id="303" max="16383" man="1"/>
    <brk id="420" max="16383" man="1"/>
    <brk id="584" max="16383" man="1"/>
    <brk id="764" max="16383" man="1"/>
    <brk id="857" max="16383" man="1"/>
    <brk id="996" max="16383" man="1"/>
    <brk id="1119" max="16383" man="1"/>
    <brk id="1199" max="16383" man="1"/>
    <brk id="1318" max="16383" man="1"/>
    <brk id="1485" max="16383" man="1"/>
    <brk id="1592" max="16383" man="1"/>
    <brk id="1708" max="16383" man="1"/>
    <brk id="1782" max="16383" man="1"/>
    <brk id="1848" max="16383" man="1"/>
    <brk id="1940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9"/>
  <sheetViews>
    <sheetView zoomScaleNormal="100" workbookViewId="0">
      <selection activeCell="C8" sqref="C8:E9"/>
    </sheetView>
  </sheetViews>
  <sheetFormatPr defaultColWidth="9.140625" defaultRowHeight="15" x14ac:dyDescent="0.3"/>
  <cols>
    <col min="1" max="1" width="3.140625" style="80" customWidth="1"/>
    <col min="2" max="2" width="35.140625" style="80" customWidth="1"/>
    <col min="3" max="5" width="21.7109375" style="76" customWidth="1"/>
    <col min="6" max="16384" width="9.140625" style="76"/>
  </cols>
  <sheetData>
    <row r="1" spans="1:6" s="3" customFormat="1" ht="14.25" customHeight="1" x14ac:dyDescent="0.25">
      <c r="A1" s="141" t="s">
        <v>0</v>
      </c>
      <c r="B1" s="141"/>
      <c r="C1" s="141"/>
      <c r="D1" s="141"/>
      <c r="E1" s="141"/>
      <c r="F1" s="154"/>
    </row>
    <row r="2" spans="1:6" s="3" customFormat="1" ht="14.25" customHeight="1" x14ac:dyDescent="0.25">
      <c r="A2" s="141" t="s">
        <v>1323</v>
      </c>
      <c r="B2" s="141"/>
      <c r="C2" s="141"/>
      <c r="D2" s="141"/>
      <c r="E2" s="141"/>
      <c r="F2" s="154"/>
    </row>
    <row r="3" spans="1:6" s="3" customFormat="1" ht="14.25" customHeight="1" x14ac:dyDescent="0.25">
      <c r="A3" s="141" t="s">
        <v>1</v>
      </c>
      <c r="B3" s="141"/>
      <c r="C3" s="141"/>
      <c r="D3" s="141"/>
      <c r="E3" s="141"/>
      <c r="F3" s="154"/>
    </row>
    <row r="4" spans="1:6" ht="42.75" customHeight="1" x14ac:dyDescent="0.35">
      <c r="A4" s="155" t="s">
        <v>1663</v>
      </c>
      <c r="B4" s="155"/>
      <c r="C4" s="155"/>
      <c r="D4" s="155"/>
      <c r="E4" s="155"/>
    </row>
    <row r="5" spans="1:6" ht="16.5" customHeight="1" x14ac:dyDescent="0.3">
      <c r="A5" s="156" t="s">
        <v>1582</v>
      </c>
      <c r="B5" s="156"/>
      <c r="C5" s="156"/>
      <c r="D5" s="156"/>
      <c r="E5" s="156"/>
    </row>
    <row r="6" spans="1:6" ht="12" customHeight="1" x14ac:dyDescent="0.3">
      <c r="A6" s="145"/>
      <c r="B6" s="145"/>
      <c r="C6" s="145"/>
      <c r="D6" s="145"/>
      <c r="E6" s="145"/>
    </row>
    <row r="7" spans="1:6" ht="15" customHeight="1" x14ac:dyDescent="0.3">
      <c r="A7" s="146" t="s">
        <v>1666</v>
      </c>
      <c r="B7" s="146"/>
      <c r="C7" s="77"/>
      <c r="D7" s="77"/>
      <c r="E7" s="77"/>
    </row>
    <row r="8" spans="1:6" ht="15" customHeight="1" x14ac:dyDescent="0.3">
      <c r="A8" s="147" t="s">
        <v>1555</v>
      </c>
      <c r="B8" s="147"/>
      <c r="C8" s="148" t="s">
        <v>1556</v>
      </c>
      <c r="D8" s="148"/>
      <c r="E8" s="148"/>
    </row>
    <row r="9" spans="1:6" ht="30" customHeight="1" x14ac:dyDescent="0.3">
      <c r="A9" s="147"/>
      <c r="B9" s="147"/>
      <c r="C9" s="148"/>
      <c r="D9" s="148"/>
      <c r="E9" s="148"/>
    </row>
    <row r="10" spans="1:6" ht="61.5" customHeight="1" x14ac:dyDescent="0.3">
      <c r="A10" s="147"/>
      <c r="B10" s="147"/>
      <c r="C10" s="157" t="s">
        <v>1314</v>
      </c>
      <c r="D10" s="158" t="s">
        <v>1665</v>
      </c>
      <c r="E10" s="159" t="s">
        <v>1662</v>
      </c>
    </row>
    <row r="11" spans="1:6" ht="35.1" customHeight="1" x14ac:dyDescent="0.3">
      <c r="A11" s="144" t="s">
        <v>1572</v>
      </c>
      <c r="B11" s="144"/>
      <c r="C11" s="175">
        <f>C12+C34+C41+C59</f>
        <v>1241688</v>
      </c>
      <c r="D11" s="175">
        <f>D12+D34+D41+D59</f>
        <v>228490</v>
      </c>
      <c r="E11" s="176">
        <f t="shared" ref="E11:E74" si="0">SUM(D11/C11)</f>
        <v>0.1840156303354788</v>
      </c>
    </row>
    <row r="12" spans="1:6" ht="35.1" customHeight="1" x14ac:dyDescent="0.3">
      <c r="A12" s="144" t="s">
        <v>1557</v>
      </c>
      <c r="B12" s="144"/>
      <c r="C12" s="91">
        <f>SUM(C13:C33)</f>
        <v>383392</v>
      </c>
      <c r="D12" s="91">
        <f>SUM(D13:D33)</f>
        <v>92616</v>
      </c>
      <c r="E12" s="92">
        <f t="shared" si="0"/>
        <v>0.24156998581086719</v>
      </c>
    </row>
    <row r="13" spans="1:6" ht="21" customHeight="1" x14ac:dyDescent="0.3">
      <c r="A13" s="93"/>
      <c r="B13" s="94" t="s">
        <v>1615</v>
      </c>
      <c r="C13" s="95">
        <v>8203</v>
      </c>
      <c r="D13" s="95">
        <v>2609</v>
      </c>
      <c r="E13" s="96">
        <f t="shared" si="0"/>
        <v>0.31805437035231016</v>
      </c>
    </row>
    <row r="14" spans="1:6" ht="21" customHeight="1" x14ac:dyDescent="0.3">
      <c r="A14" s="93"/>
      <c r="B14" s="94" t="s">
        <v>1616</v>
      </c>
      <c r="C14" s="95">
        <v>3809</v>
      </c>
      <c r="D14" s="95">
        <v>1082</v>
      </c>
      <c r="E14" s="96">
        <f t="shared" si="0"/>
        <v>0.28406405880808611</v>
      </c>
    </row>
    <row r="15" spans="1:6" ht="21" customHeight="1" x14ac:dyDescent="0.3">
      <c r="A15" s="93"/>
      <c r="B15" s="94" t="s">
        <v>1617</v>
      </c>
      <c r="C15" s="95">
        <v>6167</v>
      </c>
      <c r="D15" s="95">
        <v>1692</v>
      </c>
      <c r="E15" s="96">
        <f t="shared" si="0"/>
        <v>0.27436354791632883</v>
      </c>
    </row>
    <row r="16" spans="1:6" ht="21" customHeight="1" x14ac:dyDescent="0.3">
      <c r="A16" s="93"/>
      <c r="B16" s="94" t="s">
        <v>1559</v>
      </c>
      <c r="C16" s="95">
        <v>19466</v>
      </c>
      <c r="D16" s="95">
        <v>3206</v>
      </c>
      <c r="E16" s="96">
        <f t="shared" si="0"/>
        <v>0.16469742114455974</v>
      </c>
    </row>
    <row r="17" spans="1:5" ht="21" customHeight="1" x14ac:dyDescent="0.3">
      <c r="A17" s="93"/>
      <c r="B17" s="94" t="s">
        <v>1577</v>
      </c>
      <c r="C17" s="95">
        <v>911</v>
      </c>
      <c r="D17" s="95">
        <v>249</v>
      </c>
      <c r="E17" s="96">
        <f t="shared" si="0"/>
        <v>0.27332601536772777</v>
      </c>
    </row>
    <row r="18" spans="1:5" ht="21" customHeight="1" x14ac:dyDescent="0.3">
      <c r="A18" s="93"/>
      <c r="B18" s="94" t="s">
        <v>1578</v>
      </c>
      <c r="C18" s="95">
        <v>554</v>
      </c>
      <c r="D18" s="95">
        <v>277</v>
      </c>
      <c r="E18" s="96">
        <f t="shared" si="0"/>
        <v>0.5</v>
      </c>
    </row>
    <row r="19" spans="1:5" ht="21" customHeight="1" x14ac:dyDescent="0.3">
      <c r="A19" s="93"/>
      <c r="B19" s="94" t="s">
        <v>1575</v>
      </c>
      <c r="C19" s="95">
        <v>1875</v>
      </c>
      <c r="D19" s="95">
        <v>476</v>
      </c>
      <c r="E19" s="96">
        <f t="shared" si="0"/>
        <v>0.25386666666666668</v>
      </c>
    </row>
    <row r="20" spans="1:5" ht="21" customHeight="1" x14ac:dyDescent="0.3">
      <c r="A20" s="93"/>
      <c r="B20" s="94" t="s">
        <v>1616</v>
      </c>
      <c r="C20" s="95">
        <v>94295</v>
      </c>
      <c r="D20" s="95">
        <v>31637</v>
      </c>
      <c r="E20" s="96">
        <f t="shared" si="0"/>
        <v>0.33551089665411737</v>
      </c>
    </row>
    <row r="21" spans="1:5" ht="21" customHeight="1" x14ac:dyDescent="0.3">
      <c r="A21" s="93"/>
      <c r="B21" s="94" t="s">
        <v>1618</v>
      </c>
      <c r="C21" s="95">
        <v>607</v>
      </c>
      <c r="D21" s="95">
        <v>216</v>
      </c>
      <c r="E21" s="96">
        <f t="shared" si="0"/>
        <v>0.35584843492586493</v>
      </c>
    </row>
    <row r="22" spans="1:5" ht="21" customHeight="1" x14ac:dyDescent="0.3">
      <c r="A22" s="93"/>
      <c r="B22" s="94" t="s">
        <v>1576</v>
      </c>
      <c r="C22" s="95">
        <v>2645</v>
      </c>
      <c r="D22" s="95">
        <v>792</v>
      </c>
      <c r="E22" s="96">
        <f t="shared" si="0"/>
        <v>0.2994328922495274</v>
      </c>
    </row>
    <row r="23" spans="1:5" ht="21" customHeight="1" x14ac:dyDescent="0.3">
      <c r="A23" s="93"/>
      <c r="B23" s="94" t="s">
        <v>1560</v>
      </c>
      <c r="C23" s="95">
        <v>9669</v>
      </c>
      <c r="D23" s="95">
        <v>2747</v>
      </c>
      <c r="E23" s="96">
        <f t="shared" si="0"/>
        <v>0.28410383700486092</v>
      </c>
    </row>
    <row r="24" spans="1:5" ht="21" customHeight="1" x14ac:dyDescent="0.3">
      <c r="A24" s="93"/>
      <c r="B24" s="94" t="s">
        <v>1619</v>
      </c>
      <c r="C24" s="95">
        <v>71009</v>
      </c>
      <c r="D24" s="95">
        <v>12978</v>
      </c>
      <c r="E24" s="96">
        <f t="shared" si="0"/>
        <v>0.18276556492838936</v>
      </c>
    </row>
    <row r="25" spans="1:5" ht="21" customHeight="1" x14ac:dyDescent="0.3">
      <c r="A25" s="93"/>
      <c r="B25" s="94" t="s">
        <v>1620</v>
      </c>
      <c r="C25" s="95">
        <v>373</v>
      </c>
      <c r="D25" s="95">
        <v>84</v>
      </c>
      <c r="E25" s="96">
        <f t="shared" si="0"/>
        <v>0.22520107238605899</v>
      </c>
    </row>
    <row r="26" spans="1:5" ht="21" customHeight="1" x14ac:dyDescent="0.3">
      <c r="A26" s="93"/>
      <c r="B26" s="94" t="s">
        <v>1574</v>
      </c>
      <c r="C26" s="95">
        <v>2681</v>
      </c>
      <c r="D26" s="95">
        <v>846</v>
      </c>
      <c r="E26" s="96">
        <f t="shared" si="0"/>
        <v>0.31555389779932863</v>
      </c>
    </row>
    <row r="27" spans="1:5" ht="21" customHeight="1" x14ac:dyDescent="0.3">
      <c r="A27" s="93"/>
      <c r="B27" s="94" t="s">
        <v>1573</v>
      </c>
      <c r="C27" s="95">
        <v>2991</v>
      </c>
      <c r="D27" s="95">
        <v>1314</v>
      </c>
      <c r="E27" s="96">
        <f t="shared" si="0"/>
        <v>0.43931795386158473</v>
      </c>
    </row>
    <row r="28" spans="1:5" ht="21" customHeight="1" x14ac:dyDescent="0.3">
      <c r="A28" s="93"/>
      <c r="B28" s="94" t="s">
        <v>1621</v>
      </c>
      <c r="C28" s="95">
        <v>8846</v>
      </c>
      <c r="D28" s="95">
        <v>1987</v>
      </c>
      <c r="E28" s="96">
        <f t="shared" si="0"/>
        <v>0.2246212977617002</v>
      </c>
    </row>
    <row r="29" spans="1:5" ht="21" customHeight="1" x14ac:dyDescent="0.3">
      <c r="A29" s="93"/>
      <c r="B29" s="94" t="s">
        <v>1561</v>
      </c>
      <c r="C29" s="95">
        <v>67877</v>
      </c>
      <c r="D29" s="95">
        <v>21976</v>
      </c>
      <c r="E29" s="96">
        <f t="shared" si="0"/>
        <v>0.32376209909100284</v>
      </c>
    </row>
    <row r="30" spans="1:5" ht="21" customHeight="1" x14ac:dyDescent="0.3">
      <c r="A30" s="93"/>
      <c r="B30" s="94" t="s">
        <v>1562</v>
      </c>
      <c r="C30" s="95">
        <v>56331</v>
      </c>
      <c r="D30" s="95">
        <v>5699</v>
      </c>
      <c r="E30" s="96">
        <f t="shared" si="0"/>
        <v>0.10116987094139994</v>
      </c>
    </row>
    <row r="31" spans="1:5" ht="21" customHeight="1" x14ac:dyDescent="0.3">
      <c r="A31" s="93"/>
      <c r="B31" s="94" t="s">
        <v>1622</v>
      </c>
      <c r="C31" s="95">
        <v>900</v>
      </c>
      <c r="D31" s="95">
        <v>328</v>
      </c>
      <c r="E31" s="96">
        <f t="shared" si="0"/>
        <v>0.36444444444444446</v>
      </c>
    </row>
    <row r="32" spans="1:5" ht="21" customHeight="1" x14ac:dyDescent="0.3">
      <c r="A32" s="93"/>
      <c r="B32" s="94" t="s">
        <v>1558</v>
      </c>
      <c r="C32" s="95">
        <v>23813</v>
      </c>
      <c r="D32" s="95">
        <v>2277</v>
      </c>
      <c r="E32" s="96">
        <f t="shared" si="0"/>
        <v>9.5620039474236765E-2</v>
      </c>
    </row>
    <row r="33" spans="1:5" ht="21" customHeight="1" x14ac:dyDescent="0.3">
      <c r="A33" s="93"/>
      <c r="B33" s="94" t="s">
        <v>1623</v>
      </c>
      <c r="C33" s="95">
        <v>370</v>
      </c>
      <c r="D33" s="95">
        <v>144</v>
      </c>
      <c r="E33" s="96">
        <f t="shared" si="0"/>
        <v>0.38918918918918921</v>
      </c>
    </row>
    <row r="34" spans="1:5" ht="35.1" customHeight="1" x14ac:dyDescent="0.3">
      <c r="A34" s="97" t="s">
        <v>1624</v>
      </c>
      <c r="B34" s="98"/>
      <c r="C34" s="91">
        <f>SUM(C35:C40)</f>
        <v>259415</v>
      </c>
      <c r="D34" s="91">
        <f>SUM(D35:D40)</f>
        <v>18640</v>
      </c>
      <c r="E34" s="92">
        <f t="shared" si="0"/>
        <v>7.1853979145384814E-2</v>
      </c>
    </row>
    <row r="35" spans="1:5" ht="21" customHeight="1" x14ac:dyDescent="0.3">
      <c r="A35" s="78"/>
      <c r="B35" s="94" t="s">
        <v>1625</v>
      </c>
      <c r="C35" s="95">
        <v>1088</v>
      </c>
      <c r="D35" s="95">
        <v>231</v>
      </c>
      <c r="E35" s="96">
        <f t="shared" si="0"/>
        <v>0.21231617647058823</v>
      </c>
    </row>
    <row r="36" spans="1:5" ht="21" customHeight="1" x14ac:dyDescent="0.3">
      <c r="A36" s="78"/>
      <c r="B36" s="94" t="s">
        <v>1626</v>
      </c>
      <c r="C36" s="95">
        <v>208</v>
      </c>
      <c r="D36" s="95">
        <v>78</v>
      </c>
      <c r="E36" s="96">
        <f t="shared" si="0"/>
        <v>0.375</v>
      </c>
    </row>
    <row r="37" spans="1:5" ht="21" customHeight="1" x14ac:dyDescent="0.3">
      <c r="A37" s="78"/>
      <c r="B37" s="94" t="s">
        <v>1579</v>
      </c>
      <c r="C37" s="95">
        <v>844</v>
      </c>
      <c r="D37" s="95">
        <v>235</v>
      </c>
      <c r="E37" s="96">
        <f t="shared" si="0"/>
        <v>0.27843601895734599</v>
      </c>
    </row>
    <row r="38" spans="1:5" ht="21" customHeight="1" x14ac:dyDescent="0.3">
      <c r="A38" s="78"/>
      <c r="B38" s="94" t="s">
        <v>1566</v>
      </c>
      <c r="C38" s="95">
        <v>67873</v>
      </c>
      <c r="D38" s="95">
        <v>7912</v>
      </c>
      <c r="E38" s="96">
        <f t="shared" si="0"/>
        <v>0.11657065401558793</v>
      </c>
    </row>
    <row r="39" spans="1:5" ht="21" customHeight="1" x14ac:dyDescent="0.3">
      <c r="A39" s="78"/>
      <c r="B39" s="94" t="s">
        <v>1627</v>
      </c>
      <c r="C39" s="95">
        <v>883</v>
      </c>
      <c r="D39" s="95">
        <v>378</v>
      </c>
      <c r="E39" s="96">
        <f t="shared" si="0"/>
        <v>0.42808607021517553</v>
      </c>
    </row>
    <row r="40" spans="1:5" ht="21" customHeight="1" x14ac:dyDescent="0.3">
      <c r="A40" s="78"/>
      <c r="B40" s="94" t="s">
        <v>1628</v>
      </c>
      <c r="C40" s="95">
        <v>188519</v>
      </c>
      <c r="D40" s="95">
        <v>9806</v>
      </c>
      <c r="E40" s="96">
        <f t="shared" si="0"/>
        <v>5.2015977169409977E-2</v>
      </c>
    </row>
    <row r="41" spans="1:5" ht="24.95" customHeight="1" x14ac:dyDescent="0.3">
      <c r="A41" s="144" t="s">
        <v>1563</v>
      </c>
      <c r="B41" s="144"/>
      <c r="C41" s="91">
        <f>SUM(C42:C58)</f>
        <v>453500</v>
      </c>
      <c r="D41" s="91">
        <f>SUM(D42:D58)</f>
        <v>88537</v>
      </c>
      <c r="E41" s="92">
        <f t="shared" si="0"/>
        <v>0.19523042998897464</v>
      </c>
    </row>
    <row r="42" spans="1:5" ht="21" customHeight="1" x14ac:dyDescent="0.3">
      <c r="A42" s="78"/>
      <c r="B42" s="94" t="s">
        <v>1564</v>
      </c>
      <c r="C42" s="95">
        <v>189892</v>
      </c>
      <c r="D42" s="95">
        <v>37976</v>
      </c>
      <c r="E42" s="96">
        <f t="shared" si="0"/>
        <v>0.1999873612369136</v>
      </c>
    </row>
    <row r="43" spans="1:5" ht="21" customHeight="1" x14ac:dyDescent="0.3">
      <c r="A43" s="78"/>
      <c r="B43" s="94" t="s">
        <v>1629</v>
      </c>
      <c r="C43" s="95">
        <v>1021</v>
      </c>
      <c r="D43" s="95">
        <v>367</v>
      </c>
      <c r="E43" s="96">
        <f t="shared" si="0"/>
        <v>0.35945151811949072</v>
      </c>
    </row>
    <row r="44" spans="1:5" ht="21" customHeight="1" x14ac:dyDescent="0.3">
      <c r="A44" s="78"/>
      <c r="B44" s="94" t="s">
        <v>1630</v>
      </c>
      <c r="C44" s="95">
        <v>4003</v>
      </c>
      <c r="D44" s="95">
        <v>860</v>
      </c>
      <c r="E44" s="96">
        <f t="shared" si="0"/>
        <v>0.21483887084686484</v>
      </c>
    </row>
    <row r="45" spans="1:5" ht="21" customHeight="1" x14ac:dyDescent="0.3">
      <c r="A45" s="78"/>
      <c r="B45" s="94" t="s">
        <v>1631</v>
      </c>
      <c r="C45" s="95">
        <v>6103</v>
      </c>
      <c r="D45" s="95">
        <v>1918</v>
      </c>
      <c r="E45" s="96">
        <f t="shared" si="0"/>
        <v>0.31427166967065379</v>
      </c>
    </row>
    <row r="46" spans="1:5" ht="21" customHeight="1" x14ac:dyDescent="0.3">
      <c r="A46" s="78"/>
      <c r="B46" s="94" t="s">
        <v>1632</v>
      </c>
      <c r="C46" s="95">
        <v>1931</v>
      </c>
      <c r="D46" s="95">
        <v>314</v>
      </c>
      <c r="E46" s="96">
        <f t="shared" si="0"/>
        <v>0.16261004660797515</v>
      </c>
    </row>
    <row r="47" spans="1:5" ht="21" customHeight="1" x14ac:dyDescent="0.3">
      <c r="A47" s="78"/>
      <c r="B47" s="94" t="s">
        <v>1633</v>
      </c>
      <c r="C47" s="95">
        <v>95</v>
      </c>
      <c r="D47" s="95">
        <v>40</v>
      </c>
      <c r="E47" s="96">
        <f t="shared" si="0"/>
        <v>0.42105263157894735</v>
      </c>
    </row>
    <row r="48" spans="1:5" ht="21" customHeight="1" x14ac:dyDescent="0.3">
      <c r="A48" s="78"/>
      <c r="B48" s="94" t="s">
        <v>1634</v>
      </c>
      <c r="C48" s="95">
        <v>31922</v>
      </c>
      <c r="D48" s="95">
        <v>10418</v>
      </c>
      <c r="E48" s="96">
        <f t="shared" si="0"/>
        <v>0.32635799761919682</v>
      </c>
    </row>
    <row r="49" spans="1:5" ht="21" customHeight="1" x14ac:dyDescent="0.3">
      <c r="A49" s="78"/>
      <c r="B49" s="94" t="s">
        <v>1635</v>
      </c>
      <c r="C49" s="95">
        <v>36046</v>
      </c>
      <c r="D49" s="95">
        <v>7323</v>
      </c>
      <c r="E49" s="96">
        <f t="shared" si="0"/>
        <v>0.20315707706819064</v>
      </c>
    </row>
    <row r="50" spans="1:5" ht="21" customHeight="1" x14ac:dyDescent="0.3">
      <c r="A50" s="78"/>
      <c r="B50" s="94" t="s">
        <v>1636</v>
      </c>
      <c r="C50" s="95">
        <v>22451</v>
      </c>
      <c r="D50" s="95">
        <v>4554</v>
      </c>
      <c r="E50" s="96">
        <f t="shared" si="0"/>
        <v>0.20284174424301812</v>
      </c>
    </row>
    <row r="51" spans="1:5" ht="21" customHeight="1" x14ac:dyDescent="0.3">
      <c r="A51" s="78"/>
      <c r="B51" s="94" t="s">
        <v>1637</v>
      </c>
      <c r="C51" s="95">
        <v>15247</v>
      </c>
      <c r="D51" s="95">
        <v>2314</v>
      </c>
      <c r="E51" s="96">
        <f t="shared" si="0"/>
        <v>0.151767560831639</v>
      </c>
    </row>
    <row r="52" spans="1:5" ht="21" customHeight="1" x14ac:dyDescent="0.3">
      <c r="A52" s="78"/>
      <c r="B52" s="94" t="s">
        <v>1638</v>
      </c>
      <c r="C52" s="95">
        <v>648</v>
      </c>
      <c r="D52" s="95">
        <v>170</v>
      </c>
      <c r="E52" s="96">
        <f t="shared" si="0"/>
        <v>0.26234567901234568</v>
      </c>
    </row>
    <row r="53" spans="1:5" ht="21" customHeight="1" x14ac:dyDescent="0.3">
      <c r="A53" s="78"/>
      <c r="B53" s="94" t="s">
        <v>1639</v>
      </c>
      <c r="C53" s="95">
        <v>1272</v>
      </c>
      <c r="D53" s="95">
        <v>360</v>
      </c>
      <c r="E53" s="96">
        <f t="shared" si="0"/>
        <v>0.28301886792452829</v>
      </c>
    </row>
    <row r="54" spans="1:5" ht="21" customHeight="1" x14ac:dyDescent="0.3">
      <c r="A54" s="78"/>
      <c r="B54" s="94" t="s">
        <v>1640</v>
      </c>
      <c r="C54" s="95">
        <v>861</v>
      </c>
      <c r="D54" s="95">
        <v>178</v>
      </c>
      <c r="E54" s="96">
        <f t="shared" si="0"/>
        <v>0.20673635307781649</v>
      </c>
    </row>
    <row r="55" spans="1:5" ht="21" customHeight="1" x14ac:dyDescent="0.3">
      <c r="A55" s="78"/>
      <c r="B55" s="94" t="s">
        <v>1641</v>
      </c>
      <c r="C55" s="95">
        <v>130735</v>
      </c>
      <c r="D55" s="95">
        <v>17882</v>
      </c>
      <c r="E55" s="96">
        <f t="shared" si="0"/>
        <v>0.13678051019237389</v>
      </c>
    </row>
    <row r="56" spans="1:5" ht="21" customHeight="1" x14ac:dyDescent="0.3">
      <c r="A56" s="78"/>
      <c r="B56" s="94" t="s">
        <v>1642</v>
      </c>
      <c r="C56" s="95">
        <v>280</v>
      </c>
      <c r="D56" s="95">
        <v>127</v>
      </c>
      <c r="E56" s="96">
        <f t="shared" si="0"/>
        <v>0.45357142857142857</v>
      </c>
    </row>
    <row r="57" spans="1:5" ht="21" customHeight="1" x14ac:dyDescent="0.3">
      <c r="A57" s="78"/>
      <c r="B57" s="94" t="s">
        <v>1565</v>
      </c>
      <c r="C57" s="95">
        <v>10452</v>
      </c>
      <c r="D57" s="95">
        <v>3397</v>
      </c>
      <c r="E57" s="96">
        <f t="shared" si="0"/>
        <v>0.32500956754688098</v>
      </c>
    </row>
    <row r="58" spans="1:5" ht="21" customHeight="1" x14ac:dyDescent="0.3">
      <c r="A58" s="78"/>
      <c r="B58" s="94" t="s">
        <v>1643</v>
      </c>
      <c r="C58" s="95">
        <v>541</v>
      </c>
      <c r="D58" s="95">
        <v>339</v>
      </c>
      <c r="E58" s="96">
        <f t="shared" si="0"/>
        <v>0.62661737523105365</v>
      </c>
    </row>
    <row r="59" spans="1:5" ht="35.1" customHeight="1" x14ac:dyDescent="0.3">
      <c r="A59" s="144" t="s">
        <v>1567</v>
      </c>
      <c r="B59" s="144"/>
      <c r="C59" s="91">
        <f>SUM(C60:C79)</f>
        <v>145381</v>
      </c>
      <c r="D59" s="91">
        <f>SUM(D60:D79)</f>
        <v>28697</v>
      </c>
      <c r="E59" s="92">
        <f t="shared" si="0"/>
        <v>0.19739168116879097</v>
      </c>
    </row>
    <row r="60" spans="1:5" ht="21" customHeight="1" x14ac:dyDescent="0.3">
      <c r="A60" s="79"/>
      <c r="B60" s="94" t="s">
        <v>1644</v>
      </c>
      <c r="C60" s="95">
        <v>2832</v>
      </c>
      <c r="D60" s="95">
        <v>862</v>
      </c>
      <c r="E60" s="96">
        <f t="shared" si="0"/>
        <v>0.30437853107344631</v>
      </c>
    </row>
    <row r="61" spans="1:5" ht="21" customHeight="1" x14ac:dyDescent="0.3">
      <c r="A61" s="79"/>
      <c r="B61" s="94" t="s">
        <v>1645</v>
      </c>
      <c r="C61" s="95">
        <v>6012</v>
      </c>
      <c r="D61" s="95">
        <v>1339</v>
      </c>
      <c r="E61" s="96">
        <f t="shared" si="0"/>
        <v>0.22272122421823021</v>
      </c>
    </row>
    <row r="62" spans="1:5" ht="21" customHeight="1" x14ac:dyDescent="0.3">
      <c r="A62" s="79"/>
      <c r="B62" s="94" t="s">
        <v>1646</v>
      </c>
      <c r="C62" s="95">
        <v>8217</v>
      </c>
      <c r="D62" s="95">
        <v>2480</v>
      </c>
      <c r="E62" s="96">
        <f t="shared" si="0"/>
        <v>0.30181331386150662</v>
      </c>
    </row>
    <row r="63" spans="1:5" ht="21" customHeight="1" x14ac:dyDescent="0.3">
      <c r="A63" s="79"/>
      <c r="B63" s="94" t="s">
        <v>1581</v>
      </c>
      <c r="C63" s="95">
        <v>4160</v>
      </c>
      <c r="D63" s="95">
        <v>1422</v>
      </c>
      <c r="E63" s="96">
        <f t="shared" si="0"/>
        <v>0.34182692307692308</v>
      </c>
    </row>
    <row r="64" spans="1:5" ht="21" customHeight="1" x14ac:dyDescent="0.3">
      <c r="A64" s="79"/>
      <c r="B64" s="94" t="s">
        <v>1647</v>
      </c>
      <c r="C64" s="95">
        <v>2445</v>
      </c>
      <c r="D64" s="95">
        <v>730</v>
      </c>
      <c r="E64" s="96">
        <f t="shared" si="0"/>
        <v>0.29856850715746419</v>
      </c>
    </row>
    <row r="65" spans="1:5" ht="21" customHeight="1" x14ac:dyDescent="0.3">
      <c r="A65" s="79"/>
      <c r="B65" s="94" t="s">
        <v>1648</v>
      </c>
      <c r="C65" s="95">
        <v>1115</v>
      </c>
      <c r="D65" s="95">
        <v>343</v>
      </c>
      <c r="E65" s="96">
        <f t="shared" si="0"/>
        <v>0.30762331838565021</v>
      </c>
    </row>
    <row r="66" spans="1:5" ht="21" customHeight="1" x14ac:dyDescent="0.3">
      <c r="A66" s="79"/>
      <c r="B66" s="94" t="s">
        <v>1649</v>
      </c>
      <c r="C66" s="95">
        <v>1210</v>
      </c>
      <c r="D66" s="95">
        <v>399</v>
      </c>
      <c r="E66" s="96">
        <f t="shared" si="0"/>
        <v>0.32975206611570246</v>
      </c>
    </row>
    <row r="67" spans="1:5" ht="21" customHeight="1" x14ac:dyDescent="0.3">
      <c r="A67" s="79"/>
      <c r="B67" s="94" t="s">
        <v>1650</v>
      </c>
      <c r="C67" s="95">
        <v>1835</v>
      </c>
      <c r="D67" s="95">
        <v>395</v>
      </c>
      <c r="E67" s="96">
        <f t="shared" si="0"/>
        <v>0.21525885558583105</v>
      </c>
    </row>
    <row r="68" spans="1:5" ht="21" customHeight="1" x14ac:dyDescent="0.3">
      <c r="A68" s="79"/>
      <c r="B68" s="94" t="s">
        <v>1568</v>
      </c>
      <c r="C68" s="95">
        <v>30688</v>
      </c>
      <c r="D68" s="95">
        <v>4151</v>
      </c>
      <c r="E68" s="96">
        <f t="shared" si="0"/>
        <v>0.135264598540146</v>
      </c>
    </row>
    <row r="69" spans="1:5" ht="21" customHeight="1" x14ac:dyDescent="0.3">
      <c r="A69" s="79"/>
      <c r="B69" s="94" t="s">
        <v>1569</v>
      </c>
      <c r="C69" s="95">
        <v>23909</v>
      </c>
      <c r="D69" s="95">
        <v>4856</v>
      </c>
      <c r="E69" s="96">
        <f t="shared" si="0"/>
        <v>0.20310343385336066</v>
      </c>
    </row>
    <row r="70" spans="1:5" ht="21" customHeight="1" x14ac:dyDescent="0.3">
      <c r="A70" s="79"/>
      <c r="B70" s="94" t="s">
        <v>1651</v>
      </c>
      <c r="C70" s="95">
        <v>2150</v>
      </c>
      <c r="D70" s="95">
        <v>736</v>
      </c>
      <c r="E70" s="96">
        <f t="shared" si="0"/>
        <v>0.34232558139534885</v>
      </c>
    </row>
    <row r="71" spans="1:5" ht="21" customHeight="1" x14ac:dyDescent="0.3">
      <c r="A71" s="79"/>
      <c r="B71" s="94" t="s">
        <v>1652</v>
      </c>
      <c r="C71" s="95">
        <v>1553</v>
      </c>
      <c r="D71" s="95">
        <v>199</v>
      </c>
      <c r="E71" s="96">
        <f t="shared" si="0"/>
        <v>0.12813908564069543</v>
      </c>
    </row>
    <row r="72" spans="1:5" ht="21" customHeight="1" x14ac:dyDescent="0.3">
      <c r="A72" s="79"/>
      <c r="B72" s="94" t="s">
        <v>1653</v>
      </c>
      <c r="C72" s="95">
        <v>6524</v>
      </c>
      <c r="D72" s="95">
        <v>1658</v>
      </c>
      <c r="E72" s="96">
        <f t="shared" si="0"/>
        <v>0.25413856529736356</v>
      </c>
    </row>
    <row r="73" spans="1:5" ht="21" customHeight="1" x14ac:dyDescent="0.3">
      <c r="A73" s="79"/>
      <c r="B73" s="94" t="s">
        <v>1654</v>
      </c>
      <c r="C73" s="95">
        <v>1776</v>
      </c>
      <c r="D73" s="95">
        <v>500</v>
      </c>
      <c r="E73" s="96">
        <f t="shared" si="0"/>
        <v>0.28153153153153154</v>
      </c>
    </row>
    <row r="74" spans="1:5" ht="21" customHeight="1" x14ac:dyDescent="0.3">
      <c r="A74" s="79"/>
      <c r="B74" s="94" t="s">
        <v>1570</v>
      </c>
      <c r="C74" s="95">
        <v>39415</v>
      </c>
      <c r="D74" s="95">
        <v>5950</v>
      </c>
      <c r="E74" s="96">
        <f t="shared" si="0"/>
        <v>0.1509577571990359</v>
      </c>
    </row>
    <row r="75" spans="1:5" ht="21" customHeight="1" x14ac:dyDescent="0.3">
      <c r="A75" s="79"/>
      <c r="B75" s="94" t="s">
        <v>1655</v>
      </c>
      <c r="C75" s="95">
        <v>2963</v>
      </c>
      <c r="D75" s="95">
        <v>610</v>
      </c>
      <c r="E75" s="96">
        <f t="shared" ref="E75:E79" si="1">SUM(D75/C75)</f>
        <v>0.20587242659466756</v>
      </c>
    </row>
    <row r="76" spans="1:5" ht="21" customHeight="1" x14ac:dyDescent="0.3">
      <c r="A76" s="79"/>
      <c r="B76" s="94" t="s">
        <v>1656</v>
      </c>
      <c r="C76" s="95">
        <v>2706</v>
      </c>
      <c r="D76" s="95">
        <v>516</v>
      </c>
      <c r="E76" s="96">
        <f t="shared" si="1"/>
        <v>0.19068736141906872</v>
      </c>
    </row>
    <row r="77" spans="1:5" ht="21" customHeight="1" x14ac:dyDescent="0.3">
      <c r="A77" s="79"/>
      <c r="B77" s="94" t="s">
        <v>1657</v>
      </c>
      <c r="C77" s="95">
        <v>492</v>
      </c>
      <c r="D77" s="95">
        <v>169</v>
      </c>
      <c r="E77" s="96">
        <f t="shared" si="1"/>
        <v>0.3434959349593496</v>
      </c>
    </row>
    <row r="78" spans="1:5" ht="21" customHeight="1" x14ac:dyDescent="0.3">
      <c r="A78" s="79"/>
      <c r="B78" s="94" t="s">
        <v>1580</v>
      </c>
      <c r="C78" s="95">
        <v>2520</v>
      </c>
      <c r="D78" s="95">
        <v>489</v>
      </c>
      <c r="E78" s="96">
        <f t="shared" si="1"/>
        <v>0.19404761904761905</v>
      </c>
    </row>
    <row r="79" spans="1:5" ht="21" customHeight="1" x14ac:dyDescent="0.3">
      <c r="A79" s="79"/>
      <c r="B79" s="94" t="s">
        <v>1658</v>
      </c>
      <c r="C79" s="95">
        <v>2859</v>
      </c>
      <c r="D79" s="95">
        <v>893</v>
      </c>
      <c r="E79" s="96">
        <f t="shared" si="1"/>
        <v>0.31234697446659671</v>
      </c>
    </row>
  </sheetData>
  <mergeCells count="13">
    <mergeCell ref="A1:E1"/>
    <mergeCell ref="A2:E2"/>
    <mergeCell ref="A3:E3"/>
    <mergeCell ref="A41:B41"/>
    <mergeCell ref="A59:B59"/>
    <mergeCell ref="A4:E4"/>
    <mergeCell ref="A6:E6"/>
    <mergeCell ref="A7:B7"/>
    <mergeCell ref="A8:B10"/>
    <mergeCell ref="C8:E9"/>
    <mergeCell ref="A11:B11"/>
    <mergeCell ref="A12:B12"/>
    <mergeCell ref="A5:E5"/>
  </mergeCells>
  <pageMargins left="1.1811023622047245" right="0.70866141732283472" top="0.74803149606299213" bottom="0.74803149606299213" header="0.31496062992125984" footer="0.31496062992125984"/>
  <pageSetup paperSize="256"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2357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SUMMARY</vt:lpstr>
      <vt:lpstr>regional_summary</vt:lpstr>
      <vt:lpstr>provl_summary</vt:lpstr>
      <vt:lpstr>mun_coc</vt:lpstr>
      <vt:lpstr>OVERSEAS VOTING</vt:lpstr>
      <vt:lpstr>mun_coc!Print_Area</vt:lpstr>
      <vt:lpstr>mun_coc!Print_Titles</vt:lpstr>
      <vt:lpstr>'OVERSEAS VOTING'!Print_Titles</vt:lpstr>
      <vt:lpstr>provl_summary!Print_Titles</vt:lpstr>
      <vt:lpstr>regional_summary!Print_Titles</vt:lpstr>
      <vt:lpstr>SUMMARY!Print_Titles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>ERSD - RSD</cp:lastModifiedBy>
  <cp:revision>10</cp:revision>
  <cp:lastPrinted>2025-11-25T07:35:59Z</cp:lastPrinted>
  <dcterms:created xsi:type="dcterms:W3CDTF">2013-05-29T09:20:03Z</dcterms:created>
  <dcterms:modified xsi:type="dcterms:W3CDTF">2025-11-25T07:56:57Z</dcterms:modified>
</cp:coreProperties>
</file>